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rkusz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<sst xmlns="http://schemas.openxmlformats.org/spreadsheetml/2006/main" count="708" uniqueCount="404">
  <si>
    <t xml:space="preserve">Rank</t>
  </si>
  <si>
    <t xml:space="preserve">Name</t>
  </si>
  <si>
    <t xml:space="preserve">Country</t>
  </si>
  <si>
    <t xml:space="preserve">Female to male ration</t>
  </si>
  <si>
    <t xml:space="preserve">Overall Score</t>
  </si>
  <si>
    <t xml:space="preserve">Teaching</t>
  </si>
  <si>
    <t xml:space="preserve">Research Environment</t>
  </si>
  <si>
    <t xml:space="preserve">Research Quality</t>
  </si>
  <si>
    <t xml:space="preserve">Industry Impact</t>
  </si>
  <si>
    <t xml:space="preserve">International Outlook</t>
  </si>
  <si>
    <t xml:space="preserve">Year</t>
  </si>
  <si>
    <t xml:space="preserve">FTMRatio</t>
  </si>
  <si>
    <t xml:space="preserve">Student Population</t>
  </si>
  <si>
    <t xml:space="preserve">Students to Staff Ratio</t>
  </si>
  <si>
    <t xml:space="preserve">Ranking</t>
  </si>
  <si>
    <t xml:space="preserve">Soochow University, Taiwan</t>
  </si>
  <si>
    <t xml:space="preserve">Taiwan</t>
  </si>
  <si>
    <t xml:space="preserve">15,287</t>
  </si>
  <si>
    <t xml:space="preserve">Technical University of Sofia</t>
  </si>
  <si>
    <t xml:space="preserve">Bulgaria</t>
  </si>
  <si>
    <t xml:space="preserve">10,396</t>
  </si>
  <si>
    <t xml:space="preserve">Universiti Kuala Lumpur</t>
  </si>
  <si>
    <t xml:space="preserve">Malaysia</t>
  </si>
  <si>
    <t xml:space="preserve">17,749</t>
  </si>
  <si>
    <t xml:space="preserve">The University of Danang</t>
  </si>
  <si>
    <t xml:space="preserve">Vietnam</t>
  </si>
  <si>
    <t xml:space="preserve">60,839</t>
  </si>
  <si>
    <t xml:space="preserve">University of Dar es Salaam</t>
  </si>
  <si>
    <t xml:space="preserve">Tanzania</t>
  </si>
  <si>
    <t xml:space="preserve">38,201</t>
  </si>
  <si>
    <t xml:space="preserve">University of Valparaíso</t>
  </si>
  <si>
    <t xml:space="preserve">Chile</t>
  </si>
  <si>
    <t xml:space="preserve">16,514</t>
  </si>
  <si>
    <t xml:space="preserve">National Chi Nan University</t>
  </si>
  <si>
    <t xml:space="preserve">6,145</t>
  </si>
  <si>
    <t xml:space="preserve">University of Phayao</t>
  </si>
  <si>
    <t xml:space="preserve">Thailand</t>
  </si>
  <si>
    <t xml:space="preserve">21,363</t>
  </si>
  <si>
    <t xml:space="preserve">University of Shizuoka</t>
  </si>
  <si>
    <t xml:space="preserve">Japan</t>
  </si>
  <si>
    <t xml:space="preserve">3,252</t>
  </si>
  <si>
    <t xml:space="preserve">Kirikkale University</t>
  </si>
  <si>
    <t xml:space="preserve">Turkey</t>
  </si>
  <si>
    <t xml:space="preserve">25,261</t>
  </si>
  <si>
    <t xml:space="preserve">V,N, Karazin Kharkiv National University</t>
  </si>
  <si>
    <t xml:space="preserve">Ukraine</t>
  </si>
  <si>
    <t xml:space="preserve">17,491</t>
  </si>
  <si>
    <t xml:space="preserve">University of Birjand</t>
  </si>
  <si>
    <t xml:space="preserve">Iran</t>
  </si>
  <si>
    <t xml:space="preserve">12,169</t>
  </si>
  <si>
    <t xml:space="preserve">University of Montenegro</t>
  </si>
  <si>
    <t xml:space="preserve">Montenegro</t>
  </si>
  <si>
    <t xml:space="preserve">15,557</t>
  </si>
  <si>
    <t xml:space="preserve">PSG College of Technology</t>
  </si>
  <si>
    <t xml:space="preserve">India</t>
  </si>
  <si>
    <t xml:space="preserve">7,957</t>
  </si>
  <si>
    <t xml:space="preserve">Adıyaman University</t>
  </si>
  <si>
    <t xml:space="preserve">18,054</t>
  </si>
  <si>
    <t xml:space="preserve">Kwansei Gakuin University</t>
  </si>
  <si>
    <t xml:space="preserve">25,457</t>
  </si>
  <si>
    <t xml:space="preserve">Burdur Mehmet Akif Ersoy University</t>
  </si>
  <si>
    <t xml:space="preserve">25,140</t>
  </si>
  <si>
    <t xml:space="preserve">National Pingtung University of Science and Technology</t>
  </si>
  <si>
    <t xml:space="preserve">10,630</t>
  </si>
  <si>
    <t xml:space="preserve">AIIMS Rishikesh</t>
  </si>
  <si>
    <t xml:space="preserve">2,002</t>
  </si>
  <si>
    <t xml:space="preserve">Çankırı Karatekin University</t>
  </si>
  <si>
    <t xml:space="preserve">12,279</t>
  </si>
  <si>
    <t xml:space="preserve">University of Los Lagos</t>
  </si>
  <si>
    <t xml:space="preserve">6,923</t>
  </si>
  <si>
    <t xml:space="preserve">Latvia University of Life Sciences and Technologies</t>
  </si>
  <si>
    <t xml:space="preserve">Latvia</t>
  </si>
  <si>
    <t xml:space="preserve">3,998</t>
  </si>
  <si>
    <t xml:space="preserve">Bursa Uludağ University</t>
  </si>
  <si>
    <t xml:space="preserve">48,233</t>
  </si>
  <si>
    <t xml:space="preserve">Ming Chuan University</t>
  </si>
  <si>
    <t xml:space="preserve">17,030</t>
  </si>
  <si>
    <t xml:space="preserve">NED University of Engineering and Technology</t>
  </si>
  <si>
    <t xml:space="preserve">Pakistan</t>
  </si>
  <si>
    <t xml:space="preserve">12,523</t>
  </si>
  <si>
    <t xml:space="preserve">Atma Jaya Catholic University of Indonesia</t>
  </si>
  <si>
    <t xml:space="preserve">Indonesia</t>
  </si>
  <si>
    <t xml:space="preserve">7,908</t>
  </si>
  <si>
    <t xml:space="preserve">Georgian Technical University</t>
  </si>
  <si>
    <t xml:space="preserve">Georgia</t>
  </si>
  <si>
    <t xml:space="preserve">17,297</t>
  </si>
  <si>
    <t xml:space="preserve">Matej Bel University</t>
  </si>
  <si>
    <t xml:space="preserve">Slovakia</t>
  </si>
  <si>
    <t xml:space="preserve">6,194</t>
  </si>
  <si>
    <t xml:space="preserve">Sri Ramachandra Institute of Higher Education and Research</t>
  </si>
  <si>
    <t xml:space="preserve">8,949</t>
  </si>
  <si>
    <t xml:space="preserve">University of San Martín de Porres</t>
  </si>
  <si>
    <t xml:space="preserve">Peru</t>
  </si>
  <si>
    <t xml:space="preserve">38,029</t>
  </si>
  <si>
    <t xml:space="preserve">Mendeleev University of Chemical Technology</t>
  </si>
  <si>
    <t xml:space="preserve">Russian Federation</t>
  </si>
  <si>
    <t xml:space="preserve">8,593</t>
  </si>
  <si>
    <t xml:space="preserve">Universitas Muhammadiyah Yogyakarta</t>
  </si>
  <si>
    <t xml:space="preserve">23,551</t>
  </si>
  <si>
    <t xml:space="preserve">Sophia University</t>
  </si>
  <si>
    <t xml:space="preserve">13,016</t>
  </si>
  <si>
    <t xml:space="preserve">National Chiayi University</t>
  </si>
  <si>
    <t xml:space="preserve">11,582</t>
  </si>
  <si>
    <t xml:space="preserve">Universidad Autónoma de Querétaro</t>
  </si>
  <si>
    <t xml:space="preserve">Mexico</t>
  </si>
  <si>
    <t xml:space="preserve">24,995</t>
  </si>
  <si>
    <t xml:space="preserve">University of Taipei</t>
  </si>
  <si>
    <t xml:space="preserve">7,717</t>
  </si>
  <si>
    <t xml:space="preserve">State University of Santa Cruz</t>
  </si>
  <si>
    <t xml:space="preserve">Brazil</t>
  </si>
  <si>
    <t xml:space="preserve">7,689</t>
  </si>
  <si>
    <t xml:space="preserve">Universidad San Ignacio de Loyola</t>
  </si>
  <si>
    <t xml:space="preserve">24,365</t>
  </si>
  <si>
    <t xml:space="preserve">University of Mascara</t>
  </si>
  <si>
    <t xml:space="preserve">Algeria</t>
  </si>
  <si>
    <t xml:space="preserve">22,010</t>
  </si>
  <si>
    <t xml:space="preserve">University of Craiova</t>
  </si>
  <si>
    <t xml:space="preserve">Romania</t>
  </si>
  <si>
    <t xml:space="preserve">16,584</t>
  </si>
  <si>
    <t xml:space="preserve">Jianghan University</t>
  </si>
  <si>
    <t xml:space="preserve">China</t>
  </si>
  <si>
    <t xml:space="preserve">22,607</t>
  </si>
  <si>
    <t xml:space="preserve">Belgorod State National Research University</t>
  </si>
  <si>
    <t xml:space="preserve">17,325</t>
  </si>
  <si>
    <t xml:space="preserve">Pontifical Catholic University of Argentina</t>
  </si>
  <si>
    <t xml:space="preserve">Argentina</t>
  </si>
  <si>
    <t xml:space="preserve">18,296</t>
  </si>
  <si>
    <t xml:space="preserve">KLE Academy of Higher Education and Research</t>
  </si>
  <si>
    <t xml:space="preserve">7,175</t>
  </si>
  <si>
    <t xml:space="preserve">Tokyo University of Agriculture</t>
  </si>
  <si>
    <t xml:space="preserve">13,209</t>
  </si>
  <si>
    <t xml:space="preserve">Kocaeli University</t>
  </si>
  <si>
    <t xml:space="preserve">43,687</t>
  </si>
  <si>
    <t xml:space="preserve">Adana Alparslan Türkeş Science and Technology University</t>
  </si>
  <si>
    <t xml:space="preserve">4,769</t>
  </si>
  <si>
    <t xml:space="preserve">Mahasarakham University</t>
  </si>
  <si>
    <t xml:space="preserve">39,291</t>
  </si>
  <si>
    <t xml:space="preserve">Afyonkarahisar Health Sciences University</t>
  </si>
  <si>
    <t xml:space="preserve">4,545</t>
  </si>
  <si>
    <t xml:space="preserve">Centro Federal de Educação Tecnológica Celso Suckow da Fonseca (CEFET-RJ)</t>
  </si>
  <si>
    <t xml:space="preserve">19,873</t>
  </si>
  <si>
    <t xml:space="preserve">Jean Moulin University – Lyon 3</t>
  </si>
  <si>
    <t xml:space="preserve">France</t>
  </si>
  <si>
    <t xml:space="preserve">27,662</t>
  </si>
  <si>
    <t xml:space="preserve">Mersin University</t>
  </si>
  <si>
    <t xml:space="preserve">27,928</t>
  </si>
  <si>
    <t xml:space="preserve">Muş Alparslan University</t>
  </si>
  <si>
    <t xml:space="preserve">8,262</t>
  </si>
  <si>
    <t xml:space="preserve">Presidency University</t>
  </si>
  <si>
    <t xml:space="preserve">17,979</t>
  </si>
  <si>
    <t xml:space="preserve">Don State Technical University</t>
  </si>
  <si>
    <t xml:space="preserve">26,083</t>
  </si>
  <si>
    <t xml:space="preserve">Universidad Pontificia Bolivariana (UPB)</t>
  </si>
  <si>
    <t xml:space="preserve">Colombia</t>
  </si>
  <si>
    <t xml:space="preserve">9,763</t>
  </si>
  <si>
    <t xml:space="preserve">Ionian University</t>
  </si>
  <si>
    <t xml:space="preserve">Greece</t>
  </si>
  <si>
    <t xml:space="preserve">9,707</t>
  </si>
  <si>
    <t xml:space="preserve">Universitas Negeri Jakarta</t>
  </si>
  <si>
    <t xml:space="preserve">27,808</t>
  </si>
  <si>
    <t xml:space="preserve">Tikrit University</t>
  </si>
  <si>
    <t xml:space="preserve">Iraq</t>
  </si>
  <si>
    <t xml:space="preserve">33,551</t>
  </si>
  <si>
    <t xml:space="preserve">National University of Córdoba</t>
  </si>
  <si>
    <t xml:space="preserve">168,371</t>
  </si>
  <si>
    <t xml:space="preserve">Gheorghe Asachi Technical University of Iaşi</t>
  </si>
  <si>
    <t xml:space="preserve">13,126</t>
  </si>
  <si>
    <t xml:space="preserve">Gdynia Maritime University</t>
  </si>
  <si>
    <t xml:space="preserve">Poland</t>
  </si>
  <si>
    <t xml:space="preserve">3,279</t>
  </si>
  <si>
    <t xml:space="preserve">Thiagarajar College of Engineering</t>
  </si>
  <si>
    <t xml:space="preserve">4,835</t>
  </si>
  <si>
    <t xml:space="preserve">Eskişehir Technical University</t>
  </si>
  <si>
    <t xml:space="preserve">11,805</t>
  </si>
  <si>
    <t xml:space="preserve">Azerbaijan State Oil and Industry University</t>
  </si>
  <si>
    <t xml:space="preserve">Azerbaijan</t>
  </si>
  <si>
    <t xml:space="preserve">12,831</t>
  </si>
  <si>
    <t xml:space="preserve">Federal University of Agriculture, Abeokuta</t>
  </si>
  <si>
    <t xml:space="preserve">Nigeria</t>
  </si>
  <si>
    <t xml:space="preserve">21,219</t>
  </si>
  <si>
    <t xml:space="preserve">Afyon Kocatepe University</t>
  </si>
  <si>
    <t xml:space="preserve">22,390</t>
  </si>
  <si>
    <t xml:space="preserve">Mindanao State University – Iligan Institute of Technology</t>
  </si>
  <si>
    <t xml:space="preserve">Philippines</t>
  </si>
  <si>
    <t xml:space="preserve">12,388</t>
  </si>
  <si>
    <t xml:space="preserve">Zonguldak Bülent Ecevit University</t>
  </si>
  <si>
    <t xml:space="preserve">18,524</t>
  </si>
  <si>
    <t xml:space="preserve">Irkutsk National Research Technical University</t>
  </si>
  <si>
    <t xml:space="preserve">9,686</t>
  </si>
  <si>
    <t xml:space="preserve">University of Hyogo</t>
  </si>
  <si>
    <t xml:space="preserve">6,551</t>
  </si>
  <si>
    <t xml:space="preserve">Universitas Muhammadiyah Malang</t>
  </si>
  <si>
    <t xml:space="preserve">31,158</t>
  </si>
  <si>
    <t xml:space="preserve">University of Biskra</t>
  </si>
  <si>
    <t xml:space="preserve">28,193</t>
  </si>
  <si>
    <t xml:space="preserve">Universitas Negeri Surabaya</t>
  </si>
  <si>
    <t xml:space="preserve">37,684</t>
  </si>
  <si>
    <t xml:space="preserve">Islamic Science University of Malaysia (USIM)</t>
  </si>
  <si>
    <t xml:space="preserve">13,123</t>
  </si>
  <si>
    <t xml:space="preserve">Islamic University of Indonesia</t>
  </si>
  <si>
    <t xml:space="preserve">26,457</t>
  </si>
  <si>
    <t xml:space="preserve">İzmir Kâtip Çelebi University</t>
  </si>
  <si>
    <t xml:space="preserve">19,291</t>
  </si>
  <si>
    <t xml:space="preserve">National Ilan University</t>
  </si>
  <si>
    <t xml:space="preserve">5,592</t>
  </si>
  <si>
    <t xml:space="preserve">Srinakharinwirot University</t>
  </si>
  <si>
    <t xml:space="preserve">29,327</t>
  </si>
  <si>
    <t xml:space="preserve">Central University of Venezuela</t>
  </si>
  <si>
    <t xml:space="preserve">Venezuela</t>
  </si>
  <si>
    <t xml:space="preserve">27,604</t>
  </si>
  <si>
    <t xml:space="preserve">University of Thi-Qar</t>
  </si>
  <si>
    <t xml:space="preserve">19,964</t>
  </si>
  <si>
    <t xml:space="preserve">Ekiti State University</t>
  </si>
  <si>
    <t xml:space="preserve">13,983</t>
  </si>
  <si>
    <t xml:space="preserve">Rzeszów University of Technology</t>
  </si>
  <si>
    <t xml:space="preserve">10,790</t>
  </si>
  <si>
    <t xml:space="preserve">East China University of Technology</t>
  </si>
  <si>
    <t xml:space="preserve">26,036</t>
  </si>
  <si>
    <t xml:space="preserve">EAFIT University</t>
  </si>
  <si>
    <t xml:space="preserve">12,722</t>
  </si>
  <si>
    <t xml:space="preserve">Çanakkale Onsekiz Mart University</t>
  </si>
  <si>
    <t xml:space="preserve">46,824</t>
  </si>
  <si>
    <t xml:space="preserve">University of Port Harcourt</t>
  </si>
  <si>
    <t xml:space="preserve">42,613</t>
  </si>
  <si>
    <t xml:space="preserve">Temuco Catholic University</t>
  </si>
  <si>
    <t xml:space="preserve">10,711</t>
  </si>
  <si>
    <t xml:space="preserve">University of Caxias do Sul</t>
  </si>
  <si>
    <t xml:space="preserve">13,482</t>
  </si>
  <si>
    <t xml:space="preserve">Dicle University</t>
  </si>
  <si>
    <t xml:space="preserve">42,576</t>
  </si>
  <si>
    <t xml:space="preserve">Perm National Research Polytechnic University</t>
  </si>
  <si>
    <t xml:space="preserve">10,691</t>
  </si>
  <si>
    <t xml:space="preserve">Université Cheikh Anta Diop de Dakar (UCAD)</t>
  </si>
  <si>
    <t xml:space="preserve">Senegal</t>
  </si>
  <si>
    <t xml:space="preserve">92,109</t>
  </si>
  <si>
    <t xml:space="preserve">University of Abou Bekr Belkaïd Tlemcen</t>
  </si>
  <si>
    <t xml:space="preserve">40,061</t>
  </si>
  <si>
    <t xml:space="preserve">Başkent University</t>
  </si>
  <si>
    <t xml:space="preserve">14,593</t>
  </si>
  <si>
    <t xml:space="preserve">Universidad del Valle</t>
  </si>
  <si>
    <t xml:space="preserve">33,529</t>
  </si>
  <si>
    <t xml:space="preserve">Pontificia Universidad Católica del Ecuador</t>
  </si>
  <si>
    <t xml:space="preserve">Ecuador</t>
  </si>
  <si>
    <t xml:space="preserve">29,406</t>
  </si>
  <si>
    <t xml:space="preserve">Kırşehir Ahi Evran University</t>
  </si>
  <si>
    <t xml:space="preserve">13,682</t>
  </si>
  <si>
    <t xml:space="preserve">Universidad Panamericana (UP)</t>
  </si>
  <si>
    <t xml:space="preserve">17,141</t>
  </si>
  <si>
    <t xml:space="preserve">Dr, M,G,R, Educational and Research Institute</t>
  </si>
  <si>
    <t xml:space="preserve">31,849</t>
  </si>
  <si>
    <t xml:space="preserve">Bozok University</t>
  </si>
  <si>
    <t xml:space="preserve">15,781</t>
  </si>
  <si>
    <t xml:space="preserve">Üsküdar University</t>
  </si>
  <si>
    <t xml:space="preserve">17,011</t>
  </si>
  <si>
    <t xml:space="preserve">Yerevan State University</t>
  </si>
  <si>
    <t xml:space="preserve">Armenia</t>
  </si>
  <si>
    <t xml:space="preserve">14,333</t>
  </si>
  <si>
    <t xml:space="preserve">National Technical University Kharkiv Polytechnic Institute</t>
  </si>
  <si>
    <t xml:space="preserve">11,572</t>
  </si>
  <si>
    <t xml:space="preserve">Ordu University</t>
  </si>
  <si>
    <t xml:space="preserve">11,821</t>
  </si>
  <si>
    <t xml:space="preserve">Kharkiv Aviation Institute</t>
  </si>
  <si>
    <t xml:space="preserve">4,827</t>
  </si>
  <si>
    <t xml:space="preserve">National University of Cuyo</t>
  </si>
  <si>
    <t xml:space="preserve">37,486</t>
  </si>
  <si>
    <t xml:space="preserve">Dumlupinar University</t>
  </si>
  <si>
    <t xml:space="preserve">51,517</t>
  </si>
  <si>
    <t xml:space="preserve">Kazakh National Agrarian Research University</t>
  </si>
  <si>
    <t xml:space="preserve">Kazakhstan</t>
  </si>
  <si>
    <t xml:space="preserve">6,042</t>
  </si>
  <si>
    <t xml:space="preserve">University of Kelaniya</t>
  </si>
  <si>
    <t xml:space="preserve">Sri Lanka</t>
  </si>
  <si>
    <t xml:space="preserve">19,766</t>
  </si>
  <si>
    <t xml:space="preserve">Petersburg State Transport University</t>
  </si>
  <si>
    <t xml:space="preserve">9,137</t>
  </si>
  <si>
    <t xml:space="preserve">Universidade Estadual de Feira de Santana (UEFS)</t>
  </si>
  <si>
    <t xml:space="preserve">10,209</t>
  </si>
  <si>
    <t xml:space="preserve">Uşak University</t>
  </si>
  <si>
    <t xml:space="preserve">18,671</t>
  </si>
  <si>
    <t xml:space="preserve">Mackenzie Presbyterian University</t>
  </si>
  <si>
    <t xml:space="preserve">27,073</t>
  </si>
  <si>
    <t xml:space="preserve">Tokyo City University</t>
  </si>
  <si>
    <t xml:space="preserve">7,789</t>
  </si>
  <si>
    <t xml:space="preserve">Novosibirsk State Technical University</t>
  </si>
  <si>
    <t xml:space="preserve">14,178</t>
  </si>
  <si>
    <t xml:space="preserve">Giresun University</t>
  </si>
  <si>
    <t xml:space="preserve">26,576</t>
  </si>
  <si>
    <t xml:space="preserve">Larbi Tebessi University</t>
  </si>
  <si>
    <t xml:space="preserve">14,303</t>
  </si>
  <si>
    <t xml:space="preserve">National University of Kaohsiung</t>
  </si>
  <si>
    <t xml:space="preserve">Jan Evangelista Purkyně University</t>
  </si>
  <si>
    <t xml:space="preserve">Czechia</t>
  </si>
  <si>
    <t xml:space="preserve">8,393</t>
  </si>
  <si>
    <t xml:space="preserve">University of Prishtina</t>
  </si>
  <si>
    <t xml:space="preserve">Kosovo</t>
  </si>
  <si>
    <t xml:space="preserve">25,093</t>
  </si>
  <si>
    <t xml:space="preserve">University of Béjaïa</t>
  </si>
  <si>
    <t xml:space="preserve">40,158</t>
  </si>
  <si>
    <t xml:space="preserve">University of Laghouat</t>
  </si>
  <si>
    <t xml:space="preserve">25,934</t>
  </si>
  <si>
    <t xml:space="preserve">Hitit University</t>
  </si>
  <si>
    <t xml:space="preserve">11,234</t>
  </si>
  <si>
    <t xml:space="preserve">Instituto Politécnico Nacional (IPN)</t>
  </si>
  <si>
    <t xml:space="preserve">139,234</t>
  </si>
  <si>
    <t xml:space="preserve">North-Caucasus Federal University</t>
  </si>
  <si>
    <t xml:space="preserve">18,686</t>
  </si>
  <si>
    <t xml:space="preserve">Oran 1 University</t>
  </si>
  <si>
    <t xml:space="preserve">23,895</t>
  </si>
  <si>
    <t xml:space="preserve">Benemérita Universidad Autónoma de Puebla</t>
  </si>
  <si>
    <t xml:space="preserve">84,699</t>
  </si>
  <si>
    <t xml:space="preserve">Vasyl Stefanyk Carpathian National University</t>
  </si>
  <si>
    <t xml:space="preserve">14,265</t>
  </si>
  <si>
    <t xml:space="preserve">Aksaray University</t>
  </si>
  <si>
    <t xml:space="preserve">16,810</t>
  </si>
  <si>
    <t xml:space="preserve">Chubu University</t>
  </si>
  <si>
    <t xml:space="preserve">9,261</t>
  </si>
  <si>
    <t xml:space="preserve">University of Cuenca</t>
  </si>
  <si>
    <t xml:space="preserve">16,641</t>
  </si>
  <si>
    <t xml:space="preserve">National Technical University of Ukraine – Igor Sikorsky Kyiv Polytechnic Institute</t>
  </si>
  <si>
    <t xml:space="preserve">23,940</t>
  </si>
  <si>
    <t xml:space="preserve">Mugla Sitki Kocman University</t>
  </si>
  <si>
    <t xml:space="preserve">29,793</t>
  </si>
  <si>
    <t xml:space="preserve">North-Eastern Federal University</t>
  </si>
  <si>
    <t xml:space="preserve">12,430</t>
  </si>
  <si>
    <t xml:space="preserve">Universidad Científica del Sur</t>
  </si>
  <si>
    <t xml:space="preserve">20,474</t>
  </si>
  <si>
    <t xml:space="preserve">Manisa Celal Bayar University</t>
  </si>
  <si>
    <t xml:space="preserve">28,623</t>
  </si>
  <si>
    <t xml:space="preserve">Bursa Technical University</t>
  </si>
  <si>
    <t xml:space="preserve">11,418</t>
  </si>
  <si>
    <t xml:space="preserve">Jan Kochanowski University in Kielce</t>
  </si>
  <si>
    <t xml:space="preserve">9,998</t>
  </si>
  <si>
    <t xml:space="preserve">National University of Mongolia</t>
  </si>
  <si>
    <t xml:space="preserve">Mongolia</t>
  </si>
  <si>
    <t xml:space="preserve">Polytechnic Institute of Setúbal</t>
  </si>
  <si>
    <t xml:space="preserve">Portugal</t>
  </si>
  <si>
    <t xml:space="preserve">6,301</t>
  </si>
  <si>
    <t xml:space="preserve">Privolzhsky Research Medical University</t>
  </si>
  <si>
    <t xml:space="preserve">5,990</t>
  </si>
  <si>
    <t xml:space="preserve">Petrozavodsk State University</t>
  </si>
  <si>
    <t xml:space="preserve">7,512</t>
  </si>
  <si>
    <t xml:space="preserve">Payame Noor University</t>
  </si>
  <si>
    <t xml:space="preserve">399,383</t>
  </si>
  <si>
    <t xml:space="preserve">Kazan National Research Technological University</t>
  </si>
  <si>
    <t xml:space="preserve">13,472</t>
  </si>
  <si>
    <t xml:space="preserve">Ibaraki University</t>
  </si>
  <si>
    <t xml:space="preserve">7,864</t>
  </si>
  <si>
    <t xml:space="preserve">North-Western State Medical University named after I,I, Mechnikov</t>
  </si>
  <si>
    <t xml:space="preserve">6,780</t>
  </si>
  <si>
    <t xml:space="preserve">Volgograd State University</t>
  </si>
  <si>
    <t xml:space="preserve">8,062</t>
  </si>
  <si>
    <t xml:space="preserve">Pamukkale University</t>
  </si>
  <si>
    <t xml:space="preserve">32,376</t>
  </si>
  <si>
    <t xml:space="preserve">M’Hamed Bougara University of Boumerdès</t>
  </si>
  <si>
    <t xml:space="preserve">32,622</t>
  </si>
  <si>
    <t xml:space="preserve">Universidad Nacional Agraria La Molina</t>
  </si>
  <si>
    <t xml:space="preserve">7,819</t>
  </si>
  <si>
    <t xml:space="preserve">Ivane Javakhishvili Tbilisi State University</t>
  </si>
  <si>
    <t xml:space="preserve">24,977</t>
  </si>
  <si>
    <t xml:space="preserve">University of Kerbala</t>
  </si>
  <si>
    <t xml:space="preserve">25,226</t>
  </si>
  <si>
    <t xml:space="preserve">Chuo University</t>
  </si>
  <si>
    <t xml:space="preserve">27,005</t>
  </si>
  <si>
    <t xml:space="preserve">Nihon University</t>
  </si>
  <si>
    <t xml:space="preserve">77,140</t>
  </si>
  <si>
    <t xml:space="preserve">National Pirogov Memorial Medical University, Vinnytsya</t>
  </si>
  <si>
    <t xml:space="preserve">5,026</t>
  </si>
  <si>
    <t xml:space="preserve">National University of Life and Environmental Sciences of Ukraine</t>
  </si>
  <si>
    <t xml:space="preserve">19,154</t>
  </si>
  <si>
    <t xml:space="preserve">Université Frères Mentouri Constantine 1</t>
  </si>
  <si>
    <t xml:space="preserve">29,573</t>
  </si>
  <si>
    <t xml:space="preserve">Saint Petersburg State Pediatric Medical University</t>
  </si>
  <si>
    <t xml:space="preserve">6,843</t>
  </si>
  <si>
    <t xml:space="preserve">Alanya Alaaddin Keykubat University</t>
  </si>
  <si>
    <t xml:space="preserve">9,049</t>
  </si>
  <si>
    <t xml:space="preserve">Middle Technical University</t>
  </si>
  <si>
    <t xml:space="preserve">36,230</t>
  </si>
  <si>
    <t xml:space="preserve">Universidad Nacional Mayor de San Marcos</t>
  </si>
  <si>
    <t xml:space="preserve">42,959</t>
  </si>
  <si>
    <t xml:space="preserve">National University of Medical Sciences (NUMS)</t>
  </si>
  <si>
    <t xml:space="preserve">9,257</t>
  </si>
  <si>
    <t xml:space="preserve">National United University</t>
  </si>
  <si>
    <t xml:space="preserve">7,848</t>
  </si>
  <si>
    <t xml:space="preserve">Tecnológico de Costa Rica</t>
  </si>
  <si>
    <t xml:space="preserve">Costa Rica</t>
  </si>
  <si>
    <t xml:space="preserve">10,169</t>
  </si>
  <si>
    <t xml:space="preserve">Herzen State Pedagogical University of Russia</t>
  </si>
  <si>
    <t xml:space="preserve">17,884</t>
  </si>
  <si>
    <t xml:space="preserve">University of Mosul</t>
  </si>
  <si>
    <t xml:space="preserve">57,684</t>
  </si>
  <si>
    <t xml:space="preserve">University Mohamed Boudiaf of M’Sila</t>
  </si>
  <si>
    <t xml:space="preserve">32,500</t>
  </si>
  <si>
    <t xml:space="preserve">Hue University</t>
  </si>
  <si>
    <t xml:space="preserve">50,639</t>
  </si>
  <si>
    <t xml:space="preserve">Ceará State University</t>
  </si>
  <si>
    <t xml:space="preserve">14,109</t>
  </si>
  <si>
    <t xml:space="preserve">Universidade Nove de Julho (Uninove)</t>
  </si>
  <si>
    <t xml:space="preserve">92,549</t>
  </si>
  <si>
    <t xml:space="preserve">Universidad Industrial de Santander (UIS)</t>
  </si>
  <si>
    <t xml:space="preserve">21,778</t>
  </si>
  <si>
    <t xml:space="preserve">Doshisha University</t>
  </si>
  <si>
    <t xml:space="preserve">26,715</t>
  </si>
  <si>
    <t xml:space="preserve">Chinese Culture University</t>
  </si>
  <si>
    <t xml:space="preserve">18,673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</si>
</sst>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Aptos Narrow"/>
      <family val="2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b val="true"/>
      <sz val="11"/>
      <color theme="0"/>
      <name val="Aptos Narrow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theme="9"/>
        <bgColor rgb="FF808000"/>
      </patternFill>
    </fill>
    <fill>
      <patternFill patternType="solid">
        <fgColor theme="9" tint="0.7999"/>
        <bgColor rgb="FFCC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theme="9" tint="0.3999"/>
      </left>
      <right/>
      <top style="thin">
        <color theme="9" tint="0.3999"/>
      </top>
      <bottom style="thin">
        <color theme="9" tint="0.3999"/>
      </bottom>
      <diagonal/>
    </border>
    <border diagonalUp="false" diagonalDown="false">
      <left/>
      <right/>
      <top style="thin">
        <color theme="9" tint="0.3999"/>
      </top>
      <bottom style="thin">
        <color theme="9" tint="0.3999"/>
      </bottom>
      <diagonal/>
    </border>
    <border diagonalUp="false" diagonalDown="false">
      <left/>
      <right style="thin">
        <color theme="9" tint="0.3999"/>
      </right>
      <top style="thin">
        <color theme="9" tint="0.3999"/>
      </top>
      <bottom style="thin">
        <color theme="9" tint="0.3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F2D0"/>
      <rgbColor rgb="FFFFFF99"/>
      <rgbColor rgb="FF99CCFF"/>
      <rgbColor rgb="FFFF99CC"/>
      <rgbColor rgb="FFCC99FF"/>
      <rgbColor rgb="FFFFCC99"/>
      <rgbColor rgb="FF3366FF"/>
      <rgbColor rgb="FF33CCCC"/>
      <rgbColor rgb="FF8ED973"/>
      <rgbColor rgb="FFFFCC00"/>
      <rgbColor rgb="FFFF9900"/>
      <rgbColor rgb="FFFF6600"/>
      <rgbColor rgb="FF666699"/>
      <rgbColor rgb="FF969696"/>
      <rgbColor rgb="FF003366"/>
      <rgbColor rgb="FF4EA7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Motyw pakietu Office">
  <a:themeElements>
    <a:clrScheme name="Pakiet 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9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Q1" activeCellId="0" sqref="C1:Q1"/>
    </sheetView>
  </sheetViews>
  <sheetFormatPr defaultColWidth="8.75390625" defaultRowHeight="14.25" customHeight="false" zeroHeight="false" outlineLevelRow="0" outlineLevelCol="0"/>
  <cols>
    <col collapsed="false" customWidth="true" hidden="false" outlineLevel="0" max="4" min="4" style="0" width="27.02"/>
    <col collapsed="false" customWidth="true" hidden="false" outlineLevel="0" max="6" min="6" style="0" width="21.62"/>
    <col collapsed="false" customWidth="true" hidden="false" outlineLevel="0" max="7" min="7" style="0" width="16.06"/>
    <col collapsed="false" customWidth="true" hidden="false" outlineLevel="0" max="8" min="8" style="0" width="16.67"/>
    <col collapsed="false" customWidth="true" hidden="false" outlineLevel="0" max="9" min="9" style="0" width="17.14"/>
    <col collapsed="false" customWidth="true" hidden="false" outlineLevel="0" max="10" min="10" style="0" width="19.14"/>
    <col collapsed="false" customWidth="true" hidden="false" outlineLevel="0" max="11" min="11" style="0" width="23.93"/>
    <col collapsed="false" customWidth="true" hidden="false" outlineLevel="0" max="12" min="12" style="0" width="20.69"/>
    <col collapsed="false" customWidth="true" hidden="false" outlineLevel="0" max="15" min="15" style="0" width="15.28"/>
    <col collapsed="false" customWidth="true" hidden="false" outlineLevel="0" max="17" min="17" style="0" width="18.06"/>
    <col collapsed="false" customWidth="true" hidden="false" outlineLevel="0" max="16384" min="16382" style="0" width="12.8"/>
  </cols>
  <sheetData>
    <row r="1" customFormat="false" ht="14.25" hidden="false" customHeight="false" outlineLevel="0" collapsed="false">
      <c r="A1" s="1" t="s">
        <v>0</v>
      </c>
      <c r="B1" s="2" t="s">
        <v>1</v>
      </c>
      <c r="C1" s="2" t="s">
        <v>2</v>
      </c>
      <c r="D1" s="3" t="s">
        <v>3</v>
      </c>
      <c r="E1" s="3"/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4" t="s">
        <v>10</v>
      </c>
      <c r="M1" s="0" t="s">
        <v>11</v>
      </c>
      <c r="N1" s="2" t="s">
        <v>12</v>
      </c>
      <c r="O1" s="2" t="s">
        <v>13</v>
      </c>
      <c r="P1" s="0" t="s">
        <v>14</v>
      </c>
      <c r="Q1" s="2" t="s">
        <v>12</v>
      </c>
    </row>
    <row r="2" customFormat="false" ht="14.25" hidden="false" customHeight="false" outlineLevel="0" collapsed="false">
      <c r="A2" s="5" t="n">
        <v>1898</v>
      </c>
      <c r="B2" s="6" t="s">
        <v>15</v>
      </c>
      <c r="C2" s="6" t="s">
        <v>16</v>
      </c>
      <c r="D2" s="6" t="n">
        <v>59</v>
      </c>
      <c r="E2" s="6" t="n">
        <v>41</v>
      </c>
      <c r="F2" s="6" t="n">
        <v>20.1405</v>
      </c>
      <c r="G2" s="6" t="n">
        <v>14.6</v>
      </c>
      <c r="H2" s="6" t="n">
        <v>18</v>
      </c>
      <c r="I2" s="6" t="n">
        <v>23</v>
      </c>
      <c r="J2" s="6" t="n">
        <v>27.4</v>
      </c>
      <c r="K2" s="6" t="n">
        <v>34.9</v>
      </c>
      <c r="L2" s="7" t="n">
        <v>2026</v>
      </c>
      <c r="M2" s="0" t="n">
        <f aca="false">D2/E2</f>
        <v>1.4390243902439</v>
      </c>
      <c r="N2" s="6" t="s">
        <v>17</v>
      </c>
      <c r="O2" s="6" t="n">
        <v>35.9</v>
      </c>
      <c r="P2" s="0" t="n">
        <v>1898</v>
      </c>
      <c r="Q2" s="6" t="s">
        <v>17</v>
      </c>
    </row>
    <row r="3" customFormat="false" ht="14.25" hidden="false" customHeight="false" outlineLevel="0" collapsed="false">
      <c r="A3" s="8" t="n">
        <v>1899</v>
      </c>
      <c r="B3" s="9" t="s">
        <v>18</v>
      </c>
      <c r="C3" s="9" t="s">
        <v>19</v>
      </c>
      <c r="D3" s="9" t="n">
        <v>29</v>
      </c>
      <c r="E3" s="9" t="n">
        <v>71</v>
      </c>
      <c r="F3" s="9" t="n">
        <v>20.081</v>
      </c>
      <c r="G3" s="9" t="n">
        <v>22.9</v>
      </c>
      <c r="H3" s="9" t="n">
        <v>11.5</v>
      </c>
      <c r="I3" s="9" t="n">
        <v>22.1</v>
      </c>
      <c r="J3" s="9" t="n">
        <v>37.7</v>
      </c>
      <c r="K3" s="9" t="n">
        <v>24.7</v>
      </c>
      <c r="L3" s="10" t="n">
        <v>2026</v>
      </c>
      <c r="M3" s="0" t="n">
        <f aca="false">D3/E3</f>
        <v>0.408450704225352</v>
      </c>
      <c r="N3" s="9" t="s">
        <v>20</v>
      </c>
      <c r="O3" s="9" t="n">
        <v>10.5</v>
      </c>
      <c r="P3" s="0" t="n">
        <v>1899</v>
      </c>
      <c r="Q3" s="9" t="s">
        <v>20</v>
      </c>
    </row>
    <row r="4" customFormat="false" ht="14.25" hidden="false" customHeight="false" outlineLevel="0" collapsed="false">
      <c r="A4" s="5" t="n">
        <v>1900</v>
      </c>
      <c r="B4" s="6" t="s">
        <v>21</v>
      </c>
      <c r="C4" s="6" t="s">
        <v>22</v>
      </c>
      <c r="D4" s="6" t="n">
        <v>44</v>
      </c>
      <c r="E4" s="6" t="n">
        <v>56</v>
      </c>
      <c r="F4" s="6" t="n">
        <v>20.0405</v>
      </c>
      <c r="G4" s="6" t="n">
        <v>20.6</v>
      </c>
      <c r="H4" s="6" t="n">
        <v>9.6</v>
      </c>
      <c r="I4" s="6" t="n">
        <v>23.6</v>
      </c>
      <c r="J4" s="6" t="n">
        <v>28.8</v>
      </c>
      <c r="K4" s="6" t="n">
        <v>39.3</v>
      </c>
      <c r="L4" s="7" t="n">
        <v>2026</v>
      </c>
      <c r="M4" s="0" t="n">
        <f aca="false">D4/E4</f>
        <v>0.785714285714286</v>
      </c>
      <c r="N4" s="6" t="s">
        <v>23</v>
      </c>
      <c r="O4" s="6" t="n">
        <v>12.8</v>
      </c>
      <c r="P4" s="0" t="n">
        <v>1900</v>
      </c>
      <c r="Q4" s="6" t="s">
        <v>23</v>
      </c>
    </row>
    <row r="5" customFormat="false" ht="14.25" hidden="false" customHeight="false" outlineLevel="0" collapsed="false">
      <c r="A5" s="8" t="n">
        <v>1901</v>
      </c>
      <c r="B5" s="9" t="s">
        <v>24</v>
      </c>
      <c r="C5" s="9" t="s">
        <v>25</v>
      </c>
      <c r="D5" s="9" t="n">
        <v>58</v>
      </c>
      <c r="E5" s="9" t="n">
        <v>42</v>
      </c>
      <c r="F5" s="9" t="n">
        <v>19.9895</v>
      </c>
      <c r="G5" s="9" t="n">
        <v>10.4</v>
      </c>
      <c r="H5" s="9" t="n">
        <v>9.4</v>
      </c>
      <c r="I5" s="9" t="n">
        <v>32</v>
      </c>
      <c r="J5" s="9" t="n">
        <v>24.7</v>
      </c>
      <c r="K5" s="9" t="n">
        <v>48.1</v>
      </c>
      <c r="L5" s="10" t="n">
        <v>2026</v>
      </c>
      <c r="M5" s="0" t="n">
        <f aca="false">D5/E5</f>
        <v>1.38095238095238</v>
      </c>
      <c r="N5" s="9" t="s">
        <v>26</v>
      </c>
      <c r="O5" s="9" t="n">
        <v>36</v>
      </c>
      <c r="P5" s="0" t="n">
        <v>1901</v>
      </c>
      <c r="Q5" s="9" t="s">
        <v>26</v>
      </c>
    </row>
    <row r="6" customFormat="false" ht="14.25" hidden="false" customHeight="false" outlineLevel="0" collapsed="false">
      <c r="A6" s="5" t="n">
        <v>1902</v>
      </c>
      <c r="B6" s="6" t="s">
        <v>27</v>
      </c>
      <c r="C6" s="6" t="s">
        <v>28</v>
      </c>
      <c r="D6" s="6" t="n">
        <v>48</v>
      </c>
      <c r="E6" s="6" t="n">
        <v>52</v>
      </c>
      <c r="F6" s="6" t="n">
        <v>19.8625</v>
      </c>
      <c r="G6" s="6" t="n">
        <v>14.5</v>
      </c>
      <c r="H6" s="6" t="n">
        <v>11.1</v>
      </c>
      <c r="I6" s="6" t="n">
        <v>26.5</v>
      </c>
      <c r="J6" s="6" t="n">
        <v>21.9</v>
      </c>
      <c r="K6" s="6" t="n">
        <v>47.2</v>
      </c>
      <c r="L6" s="7" t="n">
        <v>2026</v>
      </c>
      <c r="M6" s="0" t="n">
        <f aca="false">D6/E6</f>
        <v>0.923076923076923</v>
      </c>
      <c r="N6" s="6" t="s">
        <v>29</v>
      </c>
      <c r="O6" s="6" t="n">
        <v>20.9</v>
      </c>
      <c r="P6" s="0" t="n">
        <v>1902</v>
      </c>
      <c r="Q6" s="6" t="s">
        <v>29</v>
      </c>
    </row>
    <row r="7" customFormat="false" ht="14.25" hidden="false" customHeight="false" outlineLevel="0" collapsed="false">
      <c r="A7" s="8" t="n">
        <v>1903</v>
      </c>
      <c r="B7" s="9" t="s">
        <v>30</v>
      </c>
      <c r="C7" s="9" t="s">
        <v>31</v>
      </c>
      <c r="D7" s="9" t="n">
        <v>58</v>
      </c>
      <c r="E7" s="9" t="n">
        <v>42</v>
      </c>
      <c r="F7" s="9" t="n">
        <v>19.861</v>
      </c>
      <c r="G7" s="9" t="n">
        <v>16.9</v>
      </c>
      <c r="H7" s="9" t="n">
        <v>13.1</v>
      </c>
      <c r="I7" s="9" t="n">
        <v>22.5</v>
      </c>
      <c r="J7" s="9" t="n">
        <v>20.6</v>
      </c>
      <c r="K7" s="9" t="n">
        <v>46.7</v>
      </c>
      <c r="L7" s="10" t="n">
        <v>2026</v>
      </c>
      <c r="M7" s="0" t="n">
        <f aca="false">D7/E7</f>
        <v>1.38095238095238</v>
      </c>
      <c r="N7" s="9" t="s">
        <v>32</v>
      </c>
      <c r="O7" s="9" t="n">
        <v>17.9</v>
      </c>
      <c r="P7" s="0" t="n">
        <v>1903</v>
      </c>
      <c r="Q7" s="9" t="s">
        <v>32</v>
      </c>
    </row>
    <row r="8" customFormat="false" ht="14.25" hidden="false" customHeight="false" outlineLevel="0" collapsed="false">
      <c r="A8" s="5" t="n">
        <v>1904</v>
      </c>
      <c r="B8" s="6" t="s">
        <v>33</v>
      </c>
      <c r="C8" s="6" t="s">
        <v>16</v>
      </c>
      <c r="D8" s="6" t="n">
        <v>52</v>
      </c>
      <c r="E8" s="6" t="n">
        <v>48</v>
      </c>
      <c r="F8" s="6" t="n">
        <v>19.8055</v>
      </c>
      <c r="G8" s="6" t="n">
        <v>19.8</v>
      </c>
      <c r="H8" s="6" t="n">
        <v>16</v>
      </c>
      <c r="I8" s="6" t="n">
        <v>13.9</v>
      </c>
      <c r="J8" s="6" t="n">
        <v>66.8</v>
      </c>
      <c r="K8" s="6" t="n">
        <v>33.1</v>
      </c>
      <c r="L8" s="7" t="n">
        <v>2026</v>
      </c>
      <c r="M8" s="0" t="n">
        <f aca="false">D8/E8</f>
        <v>1.08333333333333</v>
      </c>
      <c r="N8" s="6" t="s">
        <v>34</v>
      </c>
      <c r="O8" s="6" t="n">
        <v>16.5</v>
      </c>
      <c r="P8" s="0" t="n">
        <v>1904</v>
      </c>
      <c r="Q8" s="6" t="s">
        <v>34</v>
      </c>
    </row>
    <row r="9" customFormat="false" ht="14.25" hidden="false" customHeight="false" outlineLevel="0" collapsed="false">
      <c r="A9" s="8" t="n">
        <v>1905</v>
      </c>
      <c r="B9" s="9" t="s">
        <v>35</v>
      </c>
      <c r="C9" s="9" t="s">
        <v>36</v>
      </c>
      <c r="D9" s="9" t="n">
        <v>67</v>
      </c>
      <c r="E9" s="9" t="n">
        <v>33</v>
      </c>
      <c r="F9" s="9" t="n">
        <v>19.798</v>
      </c>
      <c r="G9" s="9" t="n">
        <v>13.7</v>
      </c>
      <c r="H9" s="9" t="n">
        <v>10.7</v>
      </c>
      <c r="I9" s="9" t="n">
        <v>33.5</v>
      </c>
      <c r="J9" s="9" t="n">
        <v>19.9</v>
      </c>
      <c r="K9" s="9" t="n">
        <v>24.1</v>
      </c>
      <c r="L9" s="10" t="n">
        <v>2026</v>
      </c>
      <c r="M9" s="0" t="n">
        <f aca="false">D9/E9</f>
        <v>2.03030303030303</v>
      </c>
      <c r="N9" s="9" t="s">
        <v>37</v>
      </c>
      <c r="O9" s="9" t="n">
        <v>21.8</v>
      </c>
      <c r="P9" s="0" t="n">
        <v>1905</v>
      </c>
      <c r="Q9" s="9" t="s">
        <v>37</v>
      </c>
    </row>
    <row r="10" customFormat="false" ht="14.25" hidden="false" customHeight="false" outlineLevel="0" collapsed="false">
      <c r="A10" s="5" t="n">
        <v>1906</v>
      </c>
      <c r="B10" s="6" t="s">
        <v>38</v>
      </c>
      <c r="C10" s="6" t="s">
        <v>39</v>
      </c>
      <c r="D10" s="6" t="n">
        <v>61</v>
      </c>
      <c r="E10" s="6" t="n">
        <v>39</v>
      </c>
      <c r="F10" s="6" t="n">
        <v>19.6845</v>
      </c>
      <c r="G10" s="6" t="n">
        <v>23.4</v>
      </c>
      <c r="H10" s="6" t="n">
        <v>12.5</v>
      </c>
      <c r="I10" s="6" t="n">
        <v>16.3</v>
      </c>
      <c r="J10" s="6" t="n">
        <v>59.6</v>
      </c>
      <c r="K10" s="6" t="n">
        <v>25.1</v>
      </c>
      <c r="L10" s="7" t="n">
        <v>2026</v>
      </c>
      <c r="M10" s="0" t="n">
        <f aca="false">D10/E10</f>
        <v>1.56410256410256</v>
      </c>
      <c r="N10" s="6" t="s">
        <v>40</v>
      </c>
      <c r="O10" s="6" t="n">
        <v>12</v>
      </c>
      <c r="P10" s="0" t="n">
        <v>1906</v>
      </c>
      <c r="Q10" s="6" t="s">
        <v>40</v>
      </c>
    </row>
    <row r="11" customFormat="false" ht="14.25" hidden="false" customHeight="false" outlineLevel="0" collapsed="false">
      <c r="A11" s="8" t="n">
        <v>1907</v>
      </c>
      <c r="B11" s="9" t="s">
        <v>41</v>
      </c>
      <c r="C11" s="9" t="s">
        <v>42</v>
      </c>
      <c r="D11" s="9" t="n">
        <v>51</v>
      </c>
      <c r="E11" s="9" t="n">
        <v>49</v>
      </c>
      <c r="F11" s="9" t="n">
        <v>19.684</v>
      </c>
      <c r="G11" s="9" t="n">
        <v>17</v>
      </c>
      <c r="H11" s="9" t="n">
        <v>19.6</v>
      </c>
      <c r="I11" s="9" t="n">
        <v>20.1</v>
      </c>
      <c r="J11" s="9" t="n">
        <v>36</v>
      </c>
      <c r="K11" s="9" t="n">
        <v>20.2</v>
      </c>
      <c r="L11" s="10" t="n">
        <v>2026</v>
      </c>
      <c r="M11" s="0" t="n">
        <f aca="false">D11/E11</f>
        <v>1.04081632653061</v>
      </c>
      <c r="N11" s="9" t="s">
        <v>43</v>
      </c>
      <c r="O11" s="9" t="n">
        <v>40.3</v>
      </c>
      <c r="P11" s="0" t="n">
        <v>1907</v>
      </c>
      <c r="Q11" s="9" t="s">
        <v>43</v>
      </c>
    </row>
    <row r="12" customFormat="false" ht="14.25" hidden="false" customHeight="false" outlineLevel="0" collapsed="false">
      <c r="A12" s="5" t="n">
        <v>1908</v>
      </c>
      <c r="B12" s="6" t="s">
        <v>44</v>
      </c>
      <c r="C12" s="6" t="s">
        <v>45</v>
      </c>
      <c r="D12" s="6" t="n">
        <v>51</v>
      </c>
      <c r="E12" s="6" t="n">
        <v>49</v>
      </c>
      <c r="F12" s="6" t="n">
        <v>19.6645</v>
      </c>
      <c r="G12" s="6" t="n">
        <v>26.8</v>
      </c>
      <c r="H12" s="6" t="n">
        <v>11.2</v>
      </c>
      <c r="I12" s="6" t="n">
        <v>12.1</v>
      </c>
      <c r="J12" s="6" t="n">
        <v>35.2</v>
      </c>
      <c r="K12" s="6" t="n">
        <v>46.3</v>
      </c>
      <c r="L12" s="7" t="n">
        <v>2026</v>
      </c>
      <c r="M12" s="0" t="n">
        <f aca="false">D12/E12</f>
        <v>1.04081632653061</v>
      </c>
      <c r="N12" s="6" t="s">
        <v>46</v>
      </c>
      <c r="O12" s="6" t="n">
        <v>8.3</v>
      </c>
      <c r="P12" s="0" t="n">
        <v>1908</v>
      </c>
      <c r="Q12" s="6" t="s">
        <v>46</v>
      </c>
    </row>
    <row r="13" customFormat="false" ht="14.25" hidden="false" customHeight="false" outlineLevel="0" collapsed="false">
      <c r="A13" s="8" t="n">
        <v>1909</v>
      </c>
      <c r="B13" s="9" t="s">
        <v>47</v>
      </c>
      <c r="C13" s="9" t="s">
        <v>48</v>
      </c>
      <c r="D13" s="9" t="n">
        <v>59</v>
      </c>
      <c r="E13" s="9" t="n">
        <v>41</v>
      </c>
      <c r="F13" s="9" t="n">
        <v>19.6545</v>
      </c>
      <c r="G13" s="9" t="n">
        <v>15.6</v>
      </c>
      <c r="H13" s="9" t="n">
        <v>13.7</v>
      </c>
      <c r="I13" s="9" t="n">
        <v>27.2</v>
      </c>
      <c r="J13" s="9" t="n">
        <v>20.3</v>
      </c>
      <c r="K13" s="9" t="n">
        <v>28.1</v>
      </c>
      <c r="L13" s="10" t="n">
        <v>2026</v>
      </c>
      <c r="M13" s="0" t="n">
        <f aca="false">D13/E13</f>
        <v>1.4390243902439</v>
      </c>
      <c r="N13" s="9" t="s">
        <v>49</v>
      </c>
      <c r="O13" s="9" t="n">
        <v>33.9</v>
      </c>
      <c r="P13" s="0" t="n">
        <v>1909</v>
      </c>
      <c r="Q13" s="9" t="s">
        <v>49</v>
      </c>
    </row>
    <row r="14" customFormat="false" ht="14.25" hidden="false" customHeight="false" outlineLevel="0" collapsed="false">
      <c r="A14" s="5" t="n">
        <v>1910</v>
      </c>
      <c r="B14" s="6" t="s">
        <v>50</v>
      </c>
      <c r="C14" s="6" t="s">
        <v>51</v>
      </c>
      <c r="D14" s="6" t="n">
        <v>61</v>
      </c>
      <c r="E14" s="6" t="n">
        <v>39</v>
      </c>
      <c r="F14" s="6" t="n">
        <v>19.6475</v>
      </c>
      <c r="G14" s="6" t="n">
        <v>14</v>
      </c>
      <c r="H14" s="6" t="n">
        <v>12.1</v>
      </c>
      <c r="I14" s="6" t="n">
        <v>24.3</v>
      </c>
      <c r="J14" s="6" t="n">
        <v>27.4</v>
      </c>
      <c r="K14" s="6" t="n">
        <v>48.3</v>
      </c>
      <c r="L14" s="7" t="n">
        <v>2026</v>
      </c>
      <c r="M14" s="0" t="n">
        <f aca="false">D14/E14</f>
        <v>1.56410256410256</v>
      </c>
      <c r="N14" s="6" t="s">
        <v>52</v>
      </c>
      <c r="O14" s="6" t="n">
        <v>21.1</v>
      </c>
      <c r="P14" s="0" t="n">
        <v>1910</v>
      </c>
      <c r="Q14" s="6" t="s">
        <v>52</v>
      </c>
    </row>
    <row r="15" customFormat="false" ht="14.25" hidden="false" customHeight="false" outlineLevel="0" collapsed="false">
      <c r="A15" s="8" t="n">
        <v>1911</v>
      </c>
      <c r="B15" s="9" t="s">
        <v>53</v>
      </c>
      <c r="C15" s="9" t="s">
        <v>54</v>
      </c>
      <c r="D15" s="9" t="n">
        <v>37</v>
      </c>
      <c r="E15" s="9" t="n">
        <v>63</v>
      </c>
      <c r="F15" s="9" t="n">
        <v>19.602</v>
      </c>
      <c r="G15" s="9" t="n">
        <v>21.5</v>
      </c>
      <c r="H15" s="9" t="n">
        <v>9.8</v>
      </c>
      <c r="I15" s="9" t="n">
        <v>25.1</v>
      </c>
      <c r="J15" s="9" t="n">
        <v>37.5</v>
      </c>
      <c r="K15" s="9" t="n">
        <v>18.5</v>
      </c>
      <c r="L15" s="10" t="n">
        <v>2026</v>
      </c>
      <c r="M15" s="0" t="n">
        <f aca="false">D15/E15</f>
        <v>0.587301587301587</v>
      </c>
      <c r="N15" s="9" t="s">
        <v>55</v>
      </c>
      <c r="O15" s="9" t="n">
        <v>14</v>
      </c>
      <c r="P15" s="0" t="n">
        <v>1911</v>
      </c>
      <c r="Q15" s="9" t="s">
        <v>55</v>
      </c>
    </row>
    <row r="16" customFormat="false" ht="14.25" hidden="false" customHeight="false" outlineLevel="0" collapsed="false">
      <c r="A16" s="5" t="n">
        <v>1912</v>
      </c>
      <c r="B16" s="6" t="s">
        <v>56</v>
      </c>
      <c r="C16" s="6" t="s">
        <v>42</v>
      </c>
      <c r="D16" s="6" t="n">
        <v>33</v>
      </c>
      <c r="E16" s="6" t="n">
        <v>67</v>
      </c>
      <c r="F16" s="6" t="n">
        <v>19.586</v>
      </c>
      <c r="G16" s="6" t="n">
        <v>13</v>
      </c>
      <c r="H16" s="6" t="n">
        <v>10.1</v>
      </c>
      <c r="I16" s="6" t="n">
        <v>33.5</v>
      </c>
      <c r="J16" s="6" t="n">
        <v>16.8</v>
      </c>
      <c r="K16" s="6" t="n">
        <v>28</v>
      </c>
      <c r="L16" s="7" t="n">
        <v>2026</v>
      </c>
      <c r="M16" s="0" t="n">
        <f aca="false">D16/E16</f>
        <v>0.492537313432836</v>
      </c>
      <c r="N16" s="6" t="s">
        <v>57</v>
      </c>
      <c r="O16" s="6" t="n">
        <v>21.3</v>
      </c>
      <c r="P16" s="0" t="n">
        <v>1912</v>
      </c>
      <c r="Q16" s="6" t="s">
        <v>57</v>
      </c>
    </row>
    <row r="17" customFormat="false" ht="14.25" hidden="false" customHeight="false" outlineLevel="0" collapsed="false">
      <c r="A17" s="8" t="n">
        <v>1913</v>
      </c>
      <c r="B17" s="9" t="s">
        <v>58</v>
      </c>
      <c r="C17" s="9" t="s">
        <v>39</v>
      </c>
      <c r="D17" s="9" t="n">
        <v>50</v>
      </c>
      <c r="E17" s="9" t="n">
        <v>50</v>
      </c>
      <c r="F17" s="9" t="n">
        <v>19.529</v>
      </c>
      <c r="G17" s="9" t="n">
        <v>23.2</v>
      </c>
      <c r="H17" s="9" t="n">
        <v>10.4</v>
      </c>
      <c r="I17" s="9" t="n">
        <v>18.9</v>
      </c>
      <c r="J17" s="9" t="n">
        <v>30.6</v>
      </c>
      <c r="K17" s="9" t="n">
        <v>37</v>
      </c>
      <c r="L17" s="10" t="n">
        <v>2026</v>
      </c>
      <c r="M17" s="0" t="n">
        <f aca="false">D17/E17</f>
        <v>1</v>
      </c>
      <c r="N17" s="9" t="s">
        <v>59</v>
      </c>
      <c r="O17" s="9" t="n">
        <v>20.7</v>
      </c>
      <c r="P17" s="0" t="n">
        <v>1913</v>
      </c>
      <c r="Q17" s="9" t="s">
        <v>59</v>
      </c>
    </row>
    <row r="18" customFormat="false" ht="14.25" hidden="false" customHeight="false" outlineLevel="0" collapsed="false">
      <c r="A18" s="5" t="n">
        <v>1914</v>
      </c>
      <c r="B18" s="6" t="s">
        <v>60</v>
      </c>
      <c r="C18" s="6" t="s">
        <v>42</v>
      </c>
      <c r="D18" s="6" t="n">
        <v>54</v>
      </c>
      <c r="E18" s="6" t="n">
        <v>46</v>
      </c>
      <c r="F18" s="6" t="n">
        <v>19.4895</v>
      </c>
      <c r="G18" s="6" t="n">
        <v>12.6</v>
      </c>
      <c r="H18" s="6" t="n">
        <v>9.6</v>
      </c>
      <c r="I18" s="6" t="n">
        <v>34.9</v>
      </c>
      <c r="J18" s="6" t="n">
        <v>18.9</v>
      </c>
      <c r="K18" s="6" t="n">
        <v>23.5</v>
      </c>
      <c r="L18" s="7" t="n">
        <v>2026</v>
      </c>
      <c r="M18" s="0" t="n">
        <f aca="false">D18/E18</f>
        <v>1.17391304347826</v>
      </c>
      <c r="N18" s="6" t="s">
        <v>61</v>
      </c>
      <c r="O18" s="6" t="n">
        <v>24.8</v>
      </c>
      <c r="P18" s="0" t="n">
        <v>1914</v>
      </c>
      <c r="Q18" s="6" t="s">
        <v>61</v>
      </c>
    </row>
    <row r="19" customFormat="false" ht="14.25" hidden="false" customHeight="false" outlineLevel="0" collapsed="false">
      <c r="A19" s="8" t="n">
        <v>1915</v>
      </c>
      <c r="B19" s="9" t="s">
        <v>62</v>
      </c>
      <c r="C19" s="9" t="s">
        <v>16</v>
      </c>
      <c r="D19" s="9" t="n">
        <v>44</v>
      </c>
      <c r="E19" s="9" t="n">
        <v>56</v>
      </c>
      <c r="F19" s="9" t="n">
        <v>19.489</v>
      </c>
      <c r="G19" s="9" t="n">
        <v>16.4</v>
      </c>
      <c r="H19" s="9" t="n">
        <v>14.3</v>
      </c>
      <c r="I19" s="9" t="n">
        <v>20.7</v>
      </c>
      <c r="J19" s="9" t="n">
        <v>49.6</v>
      </c>
      <c r="K19" s="9" t="n">
        <v>30.8</v>
      </c>
      <c r="L19" s="10" t="n">
        <v>2026</v>
      </c>
      <c r="M19" s="0" t="n">
        <f aca="false">D19/E19</f>
        <v>0.785714285714286</v>
      </c>
      <c r="N19" s="9" t="s">
        <v>63</v>
      </c>
      <c r="O19" s="9" t="n">
        <v>18.3</v>
      </c>
      <c r="P19" s="0" t="n">
        <v>1915</v>
      </c>
      <c r="Q19" s="9" t="s">
        <v>63</v>
      </c>
    </row>
    <row r="20" customFormat="false" ht="14.25" hidden="false" customHeight="false" outlineLevel="0" collapsed="false">
      <c r="A20" s="5" t="n">
        <v>1916</v>
      </c>
      <c r="B20" s="6" t="s">
        <v>64</v>
      </c>
      <c r="C20" s="6" t="s">
        <v>54</v>
      </c>
      <c r="D20" s="6" t="n">
        <v>37</v>
      </c>
      <c r="E20" s="6" t="n">
        <v>63</v>
      </c>
      <c r="F20" s="6" t="n">
        <v>19.45</v>
      </c>
      <c r="G20" s="6" t="n">
        <v>29</v>
      </c>
      <c r="H20" s="6" t="n">
        <v>11.2</v>
      </c>
      <c r="I20" s="6" t="n">
        <v>17.2</v>
      </c>
      <c r="J20" s="6" t="n">
        <v>22.8</v>
      </c>
      <c r="K20" s="6" t="n">
        <v>21</v>
      </c>
      <c r="L20" s="7" t="n">
        <v>2026</v>
      </c>
      <c r="M20" s="0" t="n">
        <f aca="false">D20/E20</f>
        <v>0.587301587301587</v>
      </c>
      <c r="N20" s="6" t="s">
        <v>65</v>
      </c>
      <c r="O20" s="6" t="n">
        <v>1.9</v>
      </c>
      <c r="P20" s="0" t="n">
        <v>1916</v>
      </c>
      <c r="Q20" s="6" t="s">
        <v>65</v>
      </c>
    </row>
    <row r="21" customFormat="false" ht="14.25" hidden="false" customHeight="false" outlineLevel="0" collapsed="false">
      <c r="A21" s="8" t="n">
        <v>1917</v>
      </c>
      <c r="B21" s="9" t="s">
        <v>66</v>
      </c>
      <c r="C21" s="9" t="s">
        <v>42</v>
      </c>
      <c r="D21" s="9" t="n">
        <v>55</v>
      </c>
      <c r="E21" s="9" t="n">
        <v>45</v>
      </c>
      <c r="F21" s="9" t="n">
        <v>19.4445</v>
      </c>
      <c r="G21" s="9" t="n">
        <v>14.4</v>
      </c>
      <c r="H21" s="9" t="n">
        <v>18</v>
      </c>
      <c r="I21" s="9" t="n">
        <v>23</v>
      </c>
      <c r="J21" s="9" t="n">
        <v>17.1</v>
      </c>
      <c r="K21" s="9" t="n">
        <v>31.9</v>
      </c>
      <c r="L21" s="10" t="n">
        <v>2026</v>
      </c>
      <c r="M21" s="0" t="n">
        <f aca="false">D21/E21</f>
        <v>1.22222222222222</v>
      </c>
      <c r="N21" s="9" t="s">
        <v>67</v>
      </c>
      <c r="O21" s="9" t="n">
        <v>21.9</v>
      </c>
      <c r="P21" s="0" t="n">
        <v>1917</v>
      </c>
      <c r="Q21" s="9" t="s">
        <v>67</v>
      </c>
    </row>
    <row r="22" customFormat="false" ht="14.25" hidden="false" customHeight="false" outlineLevel="0" collapsed="false">
      <c r="A22" s="5" t="n">
        <v>1918</v>
      </c>
      <c r="B22" s="6" t="s">
        <v>68</v>
      </c>
      <c r="C22" s="6" t="s">
        <v>31</v>
      </c>
      <c r="D22" s="6" t="n">
        <v>62</v>
      </c>
      <c r="E22" s="6" t="n">
        <v>38</v>
      </c>
      <c r="F22" s="6" t="n">
        <v>19.4375</v>
      </c>
      <c r="G22" s="6" t="n">
        <v>15.6</v>
      </c>
      <c r="H22" s="6" t="n">
        <v>14.6</v>
      </c>
      <c r="I22" s="6" t="n">
        <v>21</v>
      </c>
      <c r="J22" s="6" t="n">
        <v>16.6</v>
      </c>
      <c r="K22" s="6" t="n">
        <v>48.5</v>
      </c>
      <c r="L22" s="7" t="n">
        <v>2026</v>
      </c>
      <c r="M22" s="0" t="n">
        <f aca="false">D22/E22</f>
        <v>1.63157894736842</v>
      </c>
      <c r="N22" s="6" t="s">
        <v>69</v>
      </c>
      <c r="O22" s="6" t="n">
        <v>19</v>
      </c>
      <c r="P22" s="0" t="n">
        <v>1918</v>
      </c>
      <c r="Q22" s="6" t="s">
        <v>69</v>
      </c>
    </row>
    <row r="23" customFormat="false" ht="14.25" hidden="false" customHeight="false" outlineLevel="0" collapsed="false">
      <c r="A23" s="8" t="n">
        <v>1919</v>
      </c>
      <c r="B23" s="9" t="s">
        <v>70</v>
      </c>
      <c r="C23" s="9" t="s">
        <v>71</v>
      </c>
      <c r="D23" s="9" t="n">
        <v>49</v>
      </c>
      <c r="E23" s="9" t="n">
        <v>51</v>
      </c>
      <c r="F23" s="9" t="n">
        <v>19.4345</v>
      </c>
      <c r="G23" s="9" t="n">
        <v>21.7</v>
      </c>
      <c r="H23" s="9" t="n">
        <v>15.8</v>
      </c>
      <c r="I23" s="9" t="n">
        <v>17.9</v>
      </c>
      <c r="J23" s="9" t="n">
        <v>24.9</v>
      </c>
      <c r="K23" s="9" t="n">
        <v>27.8</v>
      </c>
      <c r="L23" s="10" t="n">
        <v>2026</v>
      </c>
      <c r="M23" s="0" t="n">
        <f aca="false">D23/E23</f>
        <v>0.96078431372549</v>
      </c>
      <c r="N23" s="9" t="s">
        <v>72</v>
      </c>
      <c r="O23" s="9" t="n">
        <v>14.1</v>
      </c>
      <c r="P23" s="0" t="n">
        <v>1919</v>
      </c>
      <c r="Q23" s="9" t="s">
        <v>72</v>
      </c>
    </row>
    <row r="24" customFormat="false" ht="14.25" hidden="false" customHeight="false" outlineLevel="0" collapsed="false">
      <c r="A24" s="5" t="n">
        <v>1920</v>
      </c>
      <c r="B24" s="6" t="s">
        <v>73</v>
      </c>
      <c r="C24" s="6" t="s">
        <v>42</v>
      </c>
      <c r="D24" s="6" t="n">
        <v>67</v>
      </c>
      <c r="E24" s="6" t="n">
        <v>33</v>
      </c>
      <c r="F24" s="6" t="n">
        <v>19.4315</v>
      </c>
      <c r="G24" s="6" t="n">
        <v>19.3</v>
      </c>
      <c r="H24" s="6" t="n">
        <v>10.2</v>
      </c>
      <c r="I24" s="6" t="n">
        <v>23.4</v>
      </c>
      <c r="J24" s="6" t="n">
        <v>26.5</v>
      </c>
      <c r="K24" s="6" t="n">
        <v>36</v>
      </c>
      <c r="L24" s="7" t="n">
        <v>2026</v>
      </c>
      <c r="M24" s="0" t="n">
        <f aca="false">D24/E24</f>
        <v>2.03030303030303</v>
      </c>
      <c r="N24" s="6" t="s">
        <v>74</v>
      </c>
      <c r="O24" s="6" t="n">
        <v>20.3</v>
      </c>
      <c r="P24" s="0" t="n">
        <v>1920</v>
      </c>
      <c r="Q24" s="6" t="s">
        <v>74</v>
      </c>
    </row>
    <row r="25" customFormat="false" ht="14.25" hidden="false" customHeight="false" outlineLevel="0" collapsed="false">
      <c r="A25" s="8" t="n">
        <v>1921</v>
      </c>
      <c r="B25" s="9" t="s">
        <v>75</v>
      </c>
      <c r="C25" s="9" t="s">
        <v>16</v>
      </c>
      <c r="D25" s="9" t="n">
        <v>59</v>
      </c>
      <c r="E25" s="9" t="n">
        <v>41</v>
      </c>
      <c r="F25" s="9" t="n">
        <v>19.403</v>
      </c>
      <c r="G25" s="9" t="n">
        <v>14.1</v>
      </c>
      <c r="H25" s="9" t="n">
        <v>13.6</v>
      </c>
      <c r="I25" s="9" t="n">
        <v>22.7</v>
      </c>
      <c r="J25" s="9" t="n">
        <v>42.3</v>
      </c>
      <c r="K25" s="9" t="n">
        <v>37.3</v>
      </c>
      <c r="L25" s="10" t="n">
        <v>2026</v>
      </c>
      <c r="M25" s="0" t="n">
        <f aca="false">D25/E25</f>
        <v>1.4390243902439</v>
      </c>
      <c r="N25" s="9" t="s">
        <v>76</v>
      </c>
      <c r="O25" s="9" t="n">
        <v>21.6</v>
      </c>
      <c r="P25" s="0" t="n">
        <v>1921</v>
      </c>
      <c r="Q25" s="9" t="s">
        <v>76</v>
      </c>
    </row>
    <row r="26" customFormat="false" ht="14.25" hidden="false" customHeight="false" outlineLevel="0" collapsed="false">
      <c r="A26" s="5" t="n">
        <v>1922</v>
      </c>
      <c r="B26" s="6" t="s">
        <v>77</v>
      </c>
      <c r="C26" s="6" t="s">
        <v>78</v>
      </c>
      <c r="D26" s="6" t="n">
        <v>41</v>
      </c>
      <c r="E26" s="6" t="n">
        <v>59</v>
      </c>
      <c r="F26" s="6" t="n">
        <v>19.4015</v>
      </c>
      <c r="G26" s="6" t="n">
        <v>13.4</v>
      </c>
      <c r="H26" s="6" t="n">
        <v>12.5</v>
      </c>
      <c r="I26" s="6" t="n">
        <v>22.9</v>
      </c>
      <c r="J26" s="6" t="n">
        <v>26.9</v>
      </c>
      <c r="K26" s="6" t="n">
        <v>51.7</v>
      </c>
      <c r="L26" s="7" t="n">
        <v>2026</v>
      </c>
      <c r="M26" s="0" t="n">
        <f aca="false">D26/E26</f>
        <v>0.694915254237288</v>
      </c>
      <c r="N26" s="6" t="s">
        <v>79</v>
      </c>
      <c r="O26" s="6" t="n">
        <v>22.6</v>
      </c>
      <c r="P26" s="0" t="n">
        <v>1922</v>
      </c>
      <c r="Q26" s="6" t="s">
        <v>79</v>
      </c>
    </row>
    <row r="27" customFormat="false" ht="14.25" hidden="false" customHeight="false" outlineLevel="0" collapsed="false">
      <c r="A27" s="8" t="n">
        <v>1923</v>
      </c>
      <c r="B27" s="9" t="s">
        <v>80</v>
      </c>
      <c r="C27" s="9" t="s">
        <v>81</v>
      </c>
      <c r="D27" s="9" t="n">
        <v>46</v>
      </c>
      <c r="E27" s="9" t="n">
        <v>54</v>
      </c>
      <c r="F27" s="9" t="n">
        <v>19.389</v>
      </c>
      <c r="G27" s="9" t="n">
        <v>18</v>
      </c>
      <c r="H27" s="9" t="n">
        <v>12.7</v>
      </c>
      <c r="I27" s="9" t="n">
        <v>19.5</v>
      </c>
      <c r="J27" s="9" t="n">
        <v>22.9</v>
      </c>
      <c r="K27" s="9" t="n">
        <v>48.4</v>
      </c>
      <c r="L27" s="10" t="n">
        <v>2026</v>
      </c>
      <c r="M27" s="0" t="n">
        <f aca="false">D27/E27</f>
        <v>0.851851851851852</v>
      </c>
      <c r="N27" s="9" t="s">
        <v>82</v>
      </c>
      <c r="O27" s="9" t="n">
        <v>17.6</v>
      </c>
      <c r="P27" s="0" t="n">
        <v>1923</v>
      </c>
      <c r="Q27" s="9" t="s">
        <v>82</v>
      </c>
    </row>
    <row r="28" customFormat="false" ht="14.25" hidden="false" customHeight="false" outlineLevel="0" collapsed="false">
      <c r="A28" s="5" t="n">
        <v>1924</v>
      </c>
      <c r="B28" s="6" t="s">
        <v>83</v>
      </c>
      <c r="C28" s="6" t="s">
        <v>84</v>
      </c>
      <c r="D28" s="6" t="n">
        <v>24</v>
      </c>
      <c r="E28" s="6" t="n">
        <v>76</v>
      </c>
      <c r="F28" s="6" t="n">
        <v>19.3635</v>
      </c>
      <c r="G28" s="6" t="n">
        <v>29.8</v>
      </c>
      <c r="H28" s="6" t="n">
        <v>9</v>
      </c>
      <c r="I28" s="6" t="n">
        <v>14.5</v>
      </c>
      <c r="J28" s="6" t="n">
        <v>17</v>
      </c>
      <c r="K28" s="6" t="n">
        <v>39.1</v>
      </c>
      <c r="L28" s="7" t="n">
        <v>2026</v>
      </c>
      <c r="M28" s="0" t="n">
        <f aca="false">D28/E28</f>
        <v>0.315789473684211</v>
      </c>
      <c r="N28" s="6" t="s">
        <v>85</v>
      </c>
      <c r="O28" s="6" t="n">
        <v>13.8</v>
      </c>
      <c r="P28" s="0" t="n">
        <v>1924</v>
      </c>
      <c r="Q28" s="6" t="s">
        <v>85</v>
      </c>
    </row>
    <row r="29" customFormat="false" ht="14.25" hidden="false" customHeight="false" outlineLevel="0" collapsed="false">
      <c r="A29" s="8" t="n">
        <v>1925</v>
      </c>
      <c r="B29" s="9" t="s">
        <v>86</v>
      </c>
      <c r="C29" s="9" t="s">
        <v>87</v>
      </c>
      <c r="D29" s="9" t="n">
        <v>65</v>
      </c>
      <c r="E29" s="9" t="n">
        <v>35</v>
      </c>
      <c r="F29" s="9" t="n">
        <v>19.29</v>
      </c>
      <c r="G29" s="9" t="n">
        <v>18.9</v>
      </c>
      <c r="H29" s="9" t="n">
        <v>14.2</v>
      </c>
      <c r="I29" s="9" t="n">
        <v>18</v>
      </c>
      <c r="J29" s="9" t="n">
        <v>21.1</v>
      </c>
      <c r="K29" s="9" t="n">
        <v>44.7</v>
      </c>
      <c r="L29" s="10" t="n">
        <v>2026</v>
      </c>
      <c r="M29" s="0" t="n">
        <f aca="false">D29/E29</f>
        <v>1.85714285714286</v>
      </c>
      <c r="N29" s="9" t="s">
        <v>88</v>
      </c>
      <c r="O29" s="9" t="n">
        <v>14.8</v>
      </c>
      <c r="P29" s="0" t="n">
        <v>1925</v>
      </c>
      <c r="Q29" s="9" t="s">
        <v>88</v>
      </c>
    </row>
    <row r="30" customFormat="false" ht="14.25" hidden="false" customHeight="false" outlineLevel="0" collapsed="false">
      <c r="A30" s="5" t="n">
        <v>1926</v>
      </c>
      <c r="B30" s="6" t="s">
        <v>89</v>
      </c>
      <c r="C30" s="6" t="s">
        <v>54</v>
      </c>
      <c r="D30" s="6" t="n">
        <v>61</v>
      </c>
      <c r="E30" s="6" t="n">
        <v>39</v>
      </c>
      <c r="F30" s="6" t="n">
        <v>19.2775</v>
      </c>
      <c r="G30" s="6" t="n">
        <v>25.4</v>
      </c>
      <c r="H30" s="6" t="n">
        <v>12.6</v>
      </c>
      <c r="I30" s="6" t="n">
        <v>16.3</v>
      </c>
      <c r="J30" s="6" t="n">
        <v>25.7</v>
      </c>
      <c r="K30" s="6" t="n">
        <v>29.5</v>
      </c>
      <c r="L30" s="7" t="n">
        <v>2026</v>
      </c>
      <c r="M30" s="0" t="n">
        <f aca="false">D30/E30</f>
        <v>1.56410256410256</v>
      </c>
      <c r="N30" s="6" t="s">
        <v>90</v>
      </c>
      <c r="O30" s="6" t="n">
        <v>13.5</v>
      </c>
      <c r="P30" s="0" t="n">
        <v>1926</v>
      </c>
      <c r="Q30" s="6" t="s">
        <v>90</v>
      </c>
    </row>
    <row r="31" customFormat="false" ht="14.25" hidden="false" customHeight="false" outlineLevel="0" collapsed="false">
      <c r="A31" s="8" t="n">
        <v>1927</v>
      </c>
      <c r="B31" s="9" t="s">
        <v>91</v>
      </c>
      <c r="C31" s="9" t="s">
        <v>92</v>
      </c>
      <c r="D31" s="9" t="n">
        <v>65</v>
      </c>
      <c r="E31" s="9" t="n">
        <v>35</v>
      </c>
      <c r="F31" s="9" t="n">
        <v>19.2435</v>
      </c>
      <c r="G31" s="9" t="n">
        <v>15.7</v>
      </c>
      <c r="H31" s="9" t="n">
        <v>8.9</v>
      </c>
      <c r="I31" s="9" t="n">
        <v>28.5</v>
      </c>
      <c r="J31" s="9" t="n">
        <v>18.4</v>
      </c>
      <c r="K31" s="9" t="n">
        <v>36.6</v>
      </c>
      <c r="L31" s="10" t="n">
        <v>2026</v>
      </c>
      <c r="M31" s="0" t="n">
        <f aca="false">D31/E31</f>
        <v>1.85714285714286</v>
      </c>
      <c r="N31" s="9" t="s">
        <v>93</v>
      </c>
      <c r="O31" s="9" t="n">
        <v>17.2</v>
      </c>
      <c r="P31" s="0" t="n">
        <v>1927</v>
      </c>
      <c r="Q31" s="9" t="s">
        <v>93</v>
      </c>
    </row>
    <row r="32" customFormat="false" ht="14.25" hidden="false" customHeight="false" outlineLevel="0" collapsed="false">
      <c r="A32" s="5" t="n">
        <v>1928</v>
      </c>
      <c r="B32" s="6" t="s">
        <v>94</v>
      </c>
      <c r="C32" s="6" t="s">
        <v>95</v>
      </c>
      <c r="D32" s="6" t="n">
        <v>51</v>
      </c>
      <c r="E32" s="6" t="n">
        <v>49</v>
      </c>
      <c r="F32" s="6" t="n">
        <v>19.1635</v>
      </c>
      <c r="G32" s="6" t="n">
        <v>22.7</v>
      </c>
      <c r="H32" s="6" t="n">
        <v>17.2</v>
      </c>
      <c r="I32" s="6" t="n">
        <v>13.1</v>
      </c>
      <c r="J32" s="6" t="n">
        <v>39.6</v>
      </c>
      <c r="K32" s="6" t="n">
        <v>26.2</v>
      </c>
      <c r="L32" s="7" t="n">
        <v>2026</v>
      </c>
      <c r="M32" s="0" t="n">
        <f aca="false">D32/E32</f>
        <v>1.04081632653061</v>
      </c>
      <c r="N32" s="6" t="s">
        <v>96</v>
      </c>
      <c r="O32" s="6" t="n">
        <v>12.6</v>
      </c>
      <c r="P32" s="0" t="n">
        <v>1928</v>
      </c>
      <c r="Q32" s="6" t="s">
        <v>96</v>
      </c>
    </row>
    <row r="33" customFormat="false" ht="14.25" hidden="false" customHeight="false" outlineLevel="0" collapsed="false">
      <c r="A33" s="8" t="n">
        <v>1929</v>
      </c>
      <c r="B33" s="9" t="s">
        <v>97</v>
      </c>
      <c r="C33" s="9" t="s">
        <v>81</v>
      </c>
      <c r="D33" s="9" t="n">
        <v>48</v>
      </c>
      <c r="E33" s="9" t="n">
        <v>52</v>
      </c>
      <c r="F33" s="9" t="n">
        <v>19.136</v>
      </c>
      <c r="G33" s="9" t="n">
        <v>12.4</v>
      </c>
      <c r="H33" s="9" t="n">
        <v>11.9</v>
      </c>
      <c r="I33" s="9" t="n">
        <v>25.4</v>
      </c>
      <c r="J33" s="9" t="n">
        <v>18.3</v>
      </c>
      <c r="K33" s="9" t="n">
        <v>49</v>
      </c>
      <c r="L33" s="10" t="n">
        <v>2026</v>
      </c>
      <c r="M33" s="0" t="n">
        <f aca="false">D33/E33</f>
        <v>0.923076923076923</v>
      </c>
      <c r="N33" s="9" t="s">
        <v>98</v>
      </c>
      <c r="O33" s="9" t="n">
        <v>28.1</v>
      </c>
      <c r="P33" s="0" t="n">
        <v>1929</v>
      </c>
      <c r="Q33" s="9" t="s">
        <v>98</v>
      </c>
    </row>
    <row r="34" customFormat="false" ht="14.25" hidden="false" customHeight="false" outlineLevel="0" collapsed="false">
      <c r="A34" s="5" t="n">
        <v>1930</v>
      </c>
      <c r="B34" s="6" t="s">
        <v>99</v>
      </c>
      <c r="C34" s="6" t="s">
        <v>39</v>
      </c>
      <c r="D34" s="6" t="n">
        <v>60</v>
      </c>
      <c r="E34" s="6" t="n">
        <v>40</v>
      </c>
      <c r="F34" s="6" t="n">
        <v>19.1205</v>
      </c>
      <c r="G34" s="6" t="n">
        <v>22.5</v>
      </c>
      <c r="H34" s="6" t="n">
        <v>11.1</v>
      </c>
      <c r="I34" s="6" t="n">
        <v>13.9</v>
      </c>
      <c r="J34" s="6" t="n">
        <v>33.6</v>
      </c>
      <c r="K34" s="6" t="n">
        <v>50</v>
      </c>
      <c r="L34" s="7" t="n">
        <v>2026</v>
      </c>
      <c r="M34" s="0" t="n">
        <f aca="false">D34/E34</f>
        <v>1.5</v>
      </c>
      <c r="N34" s="6" t="s">
        <v>100</v>
      </c>
      <c r="O34" s="6" t="n">
        <v>12.2</v>
      </c>
      <c r="P34" s="0" t="n">
        <v>1930</v>
      </c>
      <c r="Q34" s="6" t="s">
        <v>100</v>
      </c>
    </row>
    <row r="35" customFormat="false" ht="14.25" hidden="false" customHeight="false" outlineLevel="0" collapsed="false">
      <c r="A35" s="8" t="n">
        <v>1931</v>
      </c>
      <c r="B35" s="9" t="s">
        <v>101</v>
      </c>
      <c r="C35" s="9" t="s">
        <v>16</v>
      </c>
      <c r="D35" s="9" t="n">
        <v>48</v>
      </c>
      <c r="E35" s="9" t="n">
        <v>52</v>
      </c>
      <c r="F35" s="9" t="n">
        <v>19.118</v>
      </c>
      <c r="G35" s="9" t="n">
        <v>15.1</v>
      </c>
      <c r="H35" s="9" t="n">
        <v>14.3</v>
      </c>
      <c r="I35" s="9" t="n">
        <v>21.2</v>
      </c>
      <c r="J35" s="9" t="n">
        <v>60.6</v>
      </c>
      <c r="K35" s="9" t="n">
        <v>23.1</v>
      </c>
      <c r="L35" s="10" t="n">
        <v>2026</v>
      </c>
      <c r="M35" s="0" t="n">
        <f aca="false">D35/E35</f>
        <v>0.923076923076923</v>
      </c>
      <c r="N35" s="9" t="s">
        <v>102</v>
      </c>
      <c r="O35" s="9" t="n">
        <v>23.8</v>
      </c>
      <c r="P35" s="0" t="n">
        <v>1931</v>
      </c>
      <c r="Q35" s="9" t="s">
        <v>102</v>
      </c>
    </row>
    <row r="36" customFormat="false" ht="14.25" hidden="false" customHeight="false" outlineLevel="0" collapsed="false">
      <c r="A36" s="5" t="n">
        <v>1932</v>
      </c>
      <c r="B36" s="6" t="s">
        <v>103</v>
      </c>
      <c r="C36" s="6" t="s">
        <v>104</v>
      </c>
      <c r="D36" s="6" t="n">
        <v>58</v>
      </c>
      <c r="E36" s="6" t="n">
        <v>42</v>
      </c>
      <c r="F36" s="6" t="n">
        <v>19.108</v>
      </c>
      <c r="G36" s="6" t="n">
        <v>22.7</v>
      </c>
      <c r="H36" s="6" t="n">
        <v>11.3</v>
      </c>
      <c r="I36" s="6" t="n">
        <v>19.4</v>
      </c>
      <c r="J36" s="6" t="n">
        <v>29.8</v>
      </c>
      <c r="K36" s="6" t="n">
        <v>28.3</v>
      </c>
      <c r="L36" s="7" t="n">
        <v>2026</v>
      </c>
      <c r="M36" s="0" t="n">
        <f aca="false">D36/E36</f>
        <v>1.38095238095238</v>
      </c>
      <c r="N36" s="6" t="s">
        <v>105</v>
      </c>
      <c r="O36" s="6" t="n">
        <v>42.8</v>
      </c>
      <c r="P36" s="0" t="n">
        <v>1932</v>
      </c>
      <c r="Q36" s="6" t="s">
        <v>105</v>
      </c>
    </row>
    <row r="37" customFormat="false" ht="14.25" hidden="false" customHeight="false" outlineLevel="0" collapsed="false">
      <c r="A37" s="8" t="n">
        <v>1933</v>
      </c>
      <c r="B37" s="9" t="s">
        <v>106</v>
      </c>
      <c r="C37" s="9" t="s">
        <v>16</v>
      </c>
      <c r="D37" s="9" t="n">
        <v>61</v>
      </c>
      <c r="E37" s="9" t="n">
        <v>39</v>
      </c>
      <c r="F37" s="9" t="n">
        <v>19.068</v>
      </c>
      <c r="G37" s="9" t="n">
        <v>17.5</v>
      </c>
      <c r="H37" s="9" t="n">
        <v>19.1</v>
      </c>
      <c r="I37" s="9" t="n">
        <v>16.1</v>
      </c>
      <c r="J37" s="9" t="n">
        <v>27.1</v>
      </c>
      <c r="K37" s="9" t="n">
        <v>32.7</v>
      </c>
      <c r="L37" s="10" t="n">
        <v>2026</v>
      </c>
      <c r="M37" s="0" t="n">
        <f aca="false">D37/E37</f>
        <v>1.56410256410256</v>
      </c>
      <c r="N37" s="9" t="s">
        <v>107</v>
      </c>
      <c r="O37" s="9" t="n">
        <v>16.7</v>
      </c>
      <c r="P37" s="0" t="n">
        <v>1933</v>
      </c>
      <c r="Q37" s="9" t="s">
        <v>107</v>
      </c>
    </row>
    <row r="38" customFormat="false" ht="14.25" hidden="false" customHeight="false" outlineLevel="0" collapsed="false">
      <c r="A38" s="5" t="n">
        <v>1934</v>
      </c>
      <c r="B38" s="6" t="s">
        <v>108</v>
      </c>
      <c r="C38" s="6" t="s">
        <v>109</v>
      </c>
      <c r="D38" s="6" t="n">
        <v>56</v>
      </c>
      <c r="E38" s="6" t="n">
        <v>44</v>
      </c>
      <c r="F38" s="6" t="n">
        <v>19.028</v>
      </c>
      <c r="G38" s="6" t="n">
        <v>26.1</v>
      </c>
      <c r="H38" s="6" t="n">
        <v>10.1</v>
      </c>
      <c r="I38" s="6" t="n">
        <v>16.4</v>
      </c>
      <c r="J38" s="6" t="n">
        <v>19.3</v>
      </c>
      <c r="K38" s="6" t="n">
        <v>36.1</v>
      </c>
      <c r="L38" s="7" t="n">
        <v>2026</v>
      </c>
      <c r="M38" s="0" t="n">
        <f aca="false">D38/E38</f>
        <v>1.27272727272727</v>
      </c>
      <c r="N38" s="6" t="s">
        <v>110</v>
      </c>
      <c r="O38" s="6" t="n">
        <v>9.3</v>
      </c>
      <c r="P38" s="0" t="n">
        <v>1934</v>
      </c>
      <c r="Q38" s="6" t="s">
        <v>110</v>
      </c>
    </row>
    <row r="39" customFormat="false" ht="14.25" hidden="false" customHeight="false" outlineLevel="0" collapsed="false">
      <c r="A39" s="8" t="n">
        <v>1935</v>
      </c>
      <c r="B39" s="9" t="s">
        <v>111</v>
      </c>
      <c r="C39" s="9" t="s">
        <v>92</v>
      </c>
      <c r="D39" s="9" t="n">
        <v>48</v>
      </c>
      <c r="E39" s="9" t="n">
        <v>52</v>
      </c>
      <c r="F39" s="9" t="n">
        <v>19.0245</v>
      </c>
      <c r="G39" s="9" t="n">
        <v>12</v>
      </c>
      <c r="H39" s="9" t="n">
        <v>10.1</v>
      </c>
      <c r="I39" s="9" t="n">
        <v>29.4</v>
      </c>
      <c r="J39" s="9" t="n">
        <v>16.7</v>
      </c>
      <c r="K39" s="9" t="n">
        <v>40.9</v>
      </c>
      <c r="L39" s="10" t="n">
        <v>2026</v>
      </c>
      <c r="M39" s="0" t="n">
        <f aca="false">D39/E39</f>
        <v>0.923076923076923</v>
      </c>
      <c r="N39" s="9" t="s">
        <v>112</v>
      </c>
      <c r="O39" s="9" t="n">
        <v>29.6</v>
      </c>
      <c r="P39" s="0" t="n">
        <v>1935</v>
      </c>
      <c r="Q39" s="9" t="s">
        <v>112</v>
      </c>
    </row>
    <row r="40" customFormat="false" ht="14.25" hidden="false" customHeight="false" outlineLevel="0" collapsed="false">
      <c r="A40" s="5" t="n">
        <v>1936</v>
      </c>
      <c r="B40" s="6" t="s">
        <v>113</v>
      </c>
      <c r="C40" s="6" t="s">
        <v>114</v>
      </c>
      <c r="D40" s="6" t="n">
        <v>63</v>
      </c>
      <c r="E40" s="6" t="n">
        <v>37</v>
      </c>
      <c r="F40" s="6" t="n">
        <v>19.0015</v>
      </c>
      <c r="G40" s="6" t="n">
        <v>15.7</v>
      </c>
      <c r="H40" s="6" t="n">
        <v>8</v>
      </c>
      <c r="I40" s="6" t="n">
        <v>27.1</v>
      </c>
      <c r="J40" s="6" t="n">
        <v>17</v>
      </c>
      <c r="K40" s="6" t="n">
        <v>43.2</v>
      </c>
      <c r="L40" s="7" t="n">
        <v>2026</v>
      </c>
      <c r="M40" s="0" t="n">
        <f aca="false">D40/E40</f>
        <v>1.7027027027027</v>
      </c>
      <c r="N40" s="6" t="s">
        <v>115</v>
      </c>
      <c r="O40" s="6" t="n">
        <v>22.2</v>
      </c>
      <c r="P40" s="0" t="n">
        <v>1936</v>
      </c>
      <c r="Q40" s="6" t="s">
        <v>115</v>
      </c>
    </row>
    <row r="41" customFormat="false" ht="14.25" hidden="false" customHeight="false" outlineLevel="0" collapsed="false">
      <c r="A41" s="8" t="n">
        <v>1937</v>
      </c>
      <c r="B41" s="9" t="s">
        <v>116</v>
      </c>
      <c r="C41" s="9" t="s">
        <v>117</v>
      </c>
      <c r="D41" s="9" t="n">
        <v>52</v>
      </c>
      <c r="E41" s="9" t="n">
        <v>48</v>
      </c>
      <c r="F41" s="9" t="n">
        <v>18.997</v>
      </c>
      <c r="G41" s="9" t="n">
        <v>16.2</v>
      </c>
      <c r="H41" s="9" t="n">
        <v>11.5</v>
      </c>
      <c r="I41" s="9" t="n">
        <v>26.6</v>
      </c>
      <c r="J41" s="9" t="n">
        <v>24.2</v>
      </c>
      <c r="K41" s="9" t="n">
        <v>25.8</v>
      </c>
      <c r="L41" s="10" t="n">
        <v>2026</v>
      </c>
      <c r="M41" s="0" t="n">
        <f aca="false">D41/E41</f>
        <v>1.08333333333333</v>
      </c>
      <c r="N41" s="9" t="s">
        <v>118</v>
      </c>
      <c r="O41" s="9" t="n">
        <v>17</v>
      </c>
      <c r="P41" s="0" t="n">
        <v>1937</v>
      </c>
      <c r="Q41" s="9" t="s">
        <v>118</v>
      </c>
    </row>
    <row r="42" customFormat="false" ht="14.25" hidden="false" customHeight="false" outlineLevel="0" collapsed="false">
      <c r="A42" s="5" t="n">
        <v>1938</v>
      </c>
      <c r="B42" s="6" t="s">
        <v>119</v>
      </c>
      <c r="C42" s="6" t="s">
        <v>120</v>
      </c>
      <c r="D42" s="6" t="n">
        <v>56</v>
      </c>
      <c r="E42" s="6" t="n">
        <v>44</v>
      </c>
      <c r="F42" s="6" t="n">
        <v>18.9925</v>
      </c>
      <c r="G42" s="6" t="n">
        <v>17.1</v>
      </c>
      <c r="H42" s="6" t="n">
        <v>9.8</v>
      </c>
      <c r="I42" s="6" t="n">
        <v>28.3</v>
      </c>
      <c r="J42" s="6" t="n">
        <v>27.9</v>
      </c>
      <c r="K42" s="6" t="n">
        <v>20</v>
      </c>
      <c r="L42" s="7" t="n">
        <v>2026</v>
      </c>
      <c r="M42" s="0" t="n">
        <f aca="false">D42/E42</f>
        <v>1.27272727272727</v>
      </c>
      <c r="N42" s="6" t="s">
        <v>121</v>
      </c>
      <c r="O42" s="6" t="n">
        <v>14.4</v>
      </c>
      <c r="P42" s="0" t="n">
        <v>1938</v>
      </c>
      <c r="Q42" s="6" t="s">
        <v>121</v>
      </c>
    </row>
    <row r="43" customFormat="false" ht="14.25" hidden="false" customHeight="false" outlineLevel="0" collapsed="false">
      <c r="A43" s="8" t="n">
        <v>1939</v>
      </c>
      <c r="B43" s="9" t="s">
        <v>122</v>
      </c>
      <c r="C43" s="9" t="s">
        <v>95</v>
      </c>
      <c r="D43" s="9" t="n">
        <v>57</v>
      </c>
      <c r="E43" s="9" t="n">
        <v>43</v>
      </c>
      <c r="F43" s="9" t="n">
        <v>18.958</v>
      </c>
      <c r="G43" s="9" t="n">
        <v>21.8</v>
      </c>
      <c r="H43" s="9" t="n">
        <v>16.4</v>
      </c>
      <c r="I43" s="9" t="n">
        <v>11.1</v>
      </c>
      <c r="J43" s="9" t="n">
        <v>34.9</v>
      </c>
      <c r="K43" s="9" t="n">
        <v>40.6</v>
      </c>
      <c r="L43" s="10" t="n">
        <v>2026</v>
      </c>
      <c r="M43" s="0" t="n">
        <f aca="false">D43/E43</f>
        <v>1.32558139534884</v>
      </c>
      <c r="N43" s="9" t="s">
        <v>123</v>
      </c>
      <c r="O43" s="9" t="n">
        <v>21.2</v>
      </c>
      <c r="P43" s="0" t="n">
        <v>1939</v>
      </c>
      <c r="Q43" s="9" t="s">
        <v>123</v>
      </c>
    </row>
    <row r="44" customFormat="false" ht="14.25" hidden="false" customHeight="false" outlineLevel="0" collapsed="false">
      <c r="A44" s="5" t="n">
        <v>1940</v>
      </c>
      <c r="B44" s="6" t="s">
        <v>124</v>
      </c>
      <c r="C44" s="6" t="s">
        <v>125</v>
      </c>
      <c r="D44" s="6" t="n">
        <v>55</v>
      </c>
      <c r="E44" s="6" t="n">
        <v>45</v>
      </c>
      <c r="F44" s="6" t="n">
        <v>18.9435</v>
      </c>
      <c r="G44" s="6" t="n">
        <v>24.5</v>
      </c>
      <c r="H44" s="6" t="n">
        <v>8.2</v>
      </c>
      <c r="I44" s="6" t="n">
        <v>17.2</v>
      </c>
      <c r="J44" s="6" t="n">
        <v>16.7</v>
      </c>
      <c r="K44" s="6" t="n">
        <v>46.8</v>
      </c>
      <c r="L44" s="7" t="n">
        <v>2026</v>
      </c>
      <c r="M44" s="0" t="n">
        <f aca="false">D44/E44</f>
        <v>1.22222222222222</v>
      </c>
      <c r="N44" s="6" t="s">
        <v>126</v>
      </c>
      <c r="O44" s="6" t="n">
        <v>4.2</v>
      </c>
      <c r="P44" s="0" t="n">
        <v>1940</v>
      </c>
      <c r="Q44" s="6" t="s">
        <v>126</v>
      </c>
    </row>
    <row r="45" customFormat="false" ht="14.25" hidden="false" customHeight="false" outlineLevel="0" collapsed="false">
      <c r="A45" s="8" t="n">
        <v>1941</v>
      </c>
      <c r="B45" s="9" t="s">
        <v>127</v>
      </c>
      <c r="C45" s="9" t="s">
        <v>54</v>
      </c>
      <c r="D45" s="9" t="n">
        <v>58</v>
      </c>
      <c r="E45" s="9" t="n">
        <v>42</v>
      </c>
      <c r="F45" s="9" t="n">
        <v>18.923</v>
      </c>
      <c r="G45" s="9" t="n">
        <v>25</v>
      </c>
      <c r="H45" s="9" t="n">
        <v>11.2</v>
      </c>
      <c r="I45" s="9" t="n">
        <v>15.5</v>
      </c>
      <c r="J45" s="9" t="n">
        <v>32</v>
      </c>
      <c r="K45" s="9" t="n">
        <v>31.6</v>
      </c>
      <c r="L45" s="10" t="n">
        <v>2026</v>
      </c>
      <c r="M45" s="0" t="n">
        <f aca="false">D45/E45</f>
        <v>1.38095238095238</v>
      </c>
      <c r="N45" s="9" t="s">
        <v>128</v>
      </c>
      <c r="O45" s="9" t="n">
        <v>8.5</v>
      </c>
      <c r="P45" s="0" t="n">
        <v>1941</v>
      </c>
      <c r="Q45" s="9" t="s">
        <v>128</v>
      </c>
    </row>
    <row r="46" customFormat="false" ht="14.25" hidden="false" customHeight="false" outlineLevel="0" collapsed="false">
      <c r="A46" s="5" t="n">
        <v>1942</v>
      </c>
      <c r="B46" s="6" t="s">
        <v>129</v>
      </c>
      <c r="C46" s="6" t="s">
        <v>39</v>
      </c>
      <c r="D46" s="6" t="n">
        <v>44</v>
      </c>
      <c r="E46" s="6" t="n">
        <v>56</v>
      </c>
      <c r="F46" s="6" t="n">
        <v>18.9205</v>
      </c>
      <c r="G46" s="6" t="n">
        <v>19.9</v>
      </c>
      <c r="H46" s="6" t="n">
        <v>9.8</v>
      </c>
      <c r="I46" s="6" t="n">
        <v>22.8</v>
      </c>
      <c r="J46" s="6" t="n">
        <v>34.7</v>
      </c>
      <c r="K46" s="6" t="n">
        <v>26.4</v>
      </c>
      <c r="L46" s="7" t="n">
        <v>2026</v>
      </c>
      <c r="M46" s="0" t="n">
        <f aca="false">D46/E46</f>
        <v>0.785714285714286</v>
      </c>
      <c r="N46" s="6" t="s">
        <v>130</v>
      </c>
      <c r="O46" s="6" t="n">
        <v>33.6</v>
      </c>
      <c r="P46" s="0" t="n">
        <v>1942</v>
      </c>
      <c r="Q46" s="6" t="s">
        <v>130</v>
      </c>
    </row>
    <row r="47" customFormat="false" ht="14.25" hidden="false" customHeight="false" outlineLevel="0" collapsed="false">
      <c r="A47" s="8" t="n">
        <v>1943</v>
      </c>
      <c r="B47" s="9" t="s">
        <v>131</v>
      </c>
      <c r="C47" s="9" t="s">
        <v>42</v>
      </c>
      <c r="D47" s="9" t="n">
        <v>47</v>
      </c>
      <c r="E47" s="9" t="n">
        <v>53</v>
      </c>
      <c r="F47" s="9" t="n">
        <v>18.918</v>
      </c>
      <c r="G47" s="9" t="n">
        <v>14.1</v>
      </c>
      <c r="H47" s="9" t="n">
        <v>10.4</v>
      </c>
      <c r="I47" s="9" t="n">
        <v>28.6</v>
      </c>
      <c r="J47" s="9" t="n">
        <v>30.5</v>
      </c>
      <c r="K47" s="9" t="n">
        <v>25.9</v>
      </c>
      <c r="L47" s="10" t="n">
        <v>2026</v>
      </c>
      <c r="M47" s="0" t="n">
        <f aca="false">D47/E47</f>
        <v>0.886792452830189</v>
      </c>
      <c r="N47" s="9" t="s">
        <v>132</v>
      </c>
      <c r="O47" s="9" t="n">
        <v>28.6</v>
      </c>
      <c r="P47" s="0" t="n">
        <v>1943</v>
      </c>
      <c r="Q47" s="9" t="s">
        <v>132</v>
      </c>
    </row>
    <row r="48" customFormat="false" ht="14.25" hidden="false" customHeight="false" outlineLevel="0" collapsed="false">
      <c r="A48" s="5" t="n">
        <v>1944</v>
      </c>
      <c r="B48" s="6" t="s">
        <v>133</v>
      </c>
      <c r="C48" s="6" t="s">
        <v>42</v>
      </c>
      <c r="D48" s="6" t="n">
        <v>43</v>
      </c>
      <c r="E48" s="6" t="n">
        <v>57</v>
      </c>
      <c r="F48" s="6" t="n">
        <v>18.913</v>
      </c>
      <c r="G48" s="6" t="n">
        <v>13.7</v>
      </c>
      <c r="H48" s="6" t="n">
        <v>10.4</v>
      </c>
      <c r="I48" s="6" t="n">
        <v>31.5</v>
      </c>
      <c r="J48" s="6" t="n">
        <v>17.2</v>
      </c>
      <c r="K48" s="6" t="n">
        <v>22.9</v>
      </c>
      <c r="L48" s="7" t="n">
        <v>2026</v>
      </c>
      <c r="M48" s="0" t="n">
        <f aca="false">D48/E48</f>
        <v>0.754385964912281</v>
      </c>
      <c r="N48" s="6" t="s">
        <v>134</v>
      </c>
      <c r="O48" s="6" t="n">
        <v>19.2</v>
      </c>
      <c r="P48" s="0" t="n">
        <v>1944</v>
      </c>
      <c r="Q48" s="6" t="s">
        <v>134</v>
      </c>
    </row>
    <row r="49" customFormat="false" ht="14.25" hidden="false" customHeight="false" outlineLevel="0" collapsed="false">
      <c r="A49" s="8" t="n">
        <v>1945</v>
      </c>
      <c r="B49" s="9" t="s">
        <v>135</v>
      </c>
      <c r="C49" s="9" t="s">
        <v>36</v>
      </c>
      <c r="D49" s="9" t="n">
        <v>61</v>
      </c>
      <c r="E49" s="9" t="n">
        <v>39</v>
      </c>
      <c r="F49" s="9" t="n">
        <v>18.886</v>
      </c>
      <c r="G49" s="9" t="n">
        <v>19.9</v>
      </c>
      <c r="H49" s="9" t="n">
        <v>9.3</v>
      </c>
      <c r="I49" s="9" t="n">
        <v>24.5</v>
      </c>
      <c r="J49" s="9" t="n">
        <v>18.9</v>
      </c>
      <c r="K49" s="9" t="n">
        <v>29.5</v>
      </c>
      <c r="L49" s="10" t="n">
        <v>2026</v>
      </c>
      <c r="M49" s="0" t="n">
        <f aca="false">D49/E49</f>
        <v>1.56410256410256</v>
      </c>
      <c r="N49" s="9" t="s">
        <v>136</v>
      </c>
      <c r="O49" s="9" t="n">
        <v>33.6</v>
      </c>
      <c r="P49" s="0" t="n">
        <v>1945</v>
      </c>
      <c r="Q49" s="9" t="s">
        <v>136</v>
      </c>
    </row>
    <row r="50" customFormat="false" ht="14.25" hidden="false" customHeight="false" outlineLevel="0" collapsed="false">
      <c r="A50" s="5" t="n">
        <v>1946</v>
      </c>
      <c r="B50" s="6" t="s">
        <v>137</v>
      </c>
      <c r="C50" s="6" t="s">
        <v>42</v>
      </c>
      <c r="D50" s="6" t="n">
        <v>66</v>
      </c>
      <c r="E50" s="6" t="n">
        <v>34</v>
      </c>
      <c r="F50" s="6" t="n">
        <v>18.8745</v>
      </c>
      <c r="G50" s="6" t="n">
        <v>29.8</v>
      </c>
      <c r="H50" s="6" t="n">
        <v>11.8</v>
      </c>
      <c r="I50" s="6" t="n">
        <v>13.1</v>
      </c>
      <c r="J50" s="6" t="n">
        <v>24.6</v>
      </c>
      <c r="K50" s="6" t="n">
        <v>23.3</v>
      </c>
      <c r="L50" s="7" t="n">
        <v>2026</v>
      </c>
      <c r="M50" s="0" t="n">
        <f aca="false">D50/E50</f>
        <v>1.94117647058824</v>
      </c>
      <c r="N50" s="6" t="s">
        <v>138</v>
      </c>
      <c r="O50" s="6" t="n">
        <v>12</v>
      </c>
      <c r="P50" s="0" t="n">
        <v>1946</v>
      </c>
      <c r="Q50" s="6" t="s">
        <v>138</v>
      </c>
    </row>
    <row r="51" customFormat="false" ht="14.25" hidden="false" customHeight="false" outlineLevel="0" collapsed="false">
      <c r="A51" s="8" t="n">
        <v>1947</v>
      </c>
      <c r="B51" s="9" t="s">
        <v>139</v>
      </c>
      <c r="C51" s="9" t="s">
        <v>109</v>
      </c>
      <c r="D51" s="9" t="n">
        <v>36</v>
      </c>
      <c r="E51" s="9" t="n">
        <v>64</v>
      </c>
      <c r="F51" s="9" t="n">
        <v>18.858</v>
      </c>
      <c r="G51" s="9" t="n">
        <v>15.5</v>
      </c>
      <c r="H51" s="9" t="n">
        <v>10.1</v>
      </c>
      <c r="I51" s="9" t="n">
        <v>26.3</v>
      </c>
      <c r="J51" s="9" t="n">
        <v>18.6</v>
      </c>
      <c r="K51" s="9" t="n">
        <v>36.3</v>
      </c>
      <c r="L51" s="10" t="n">
        <v>2026</v>
      </c>
      <c r="M51" s="0" t="n">
        <f aca="false">D51/E51</f>
        <v>0.5625</v>
      </c>
      <c r="N51" s="9" t="s">
        <v>140</v>
      </c>
      <c r="O51" s="9" t="n">
        <v>22.2</v>
      </c>
      <c r="P51" s="0" t="n">
        <v>1947</v>
      </c>
      <c r="Q51" s="9" t="s">
        <v>140</v>
      </c>
    </row>
    <row r="52" customFormat="false" ht="14.25" hidden="false" customHeight="false" outlineLevel="0" collapsed="false">
      <c r="A52" s="5" t="n">
        <v>1948</v>
      </c>
      <c r="B52" s="6" t="s">
        <v>141</v>
      </c>
      <c r="C52" s="6" t="s">
        <v>142</v>
      </c>
      <c r="D52" s="6" t="n">
        <v>66</v>
      </c>
      <c r="E52" s="6" t="n">
        <v>34</v>
      </c>
      <c r="F52" s="6" t="n">
        <v>18.852</v>
      </c>
      <c r="G52" s="6" t="n">
        <v>15</v>
      </c>
      <c r="H52" s="6" t="n">
        <v>13.7</v>
      </c>
      <c r="I52" s="6" t="n">
        <v>16</v>
      </c>
      <c r="J52" s="6" t="n">
        <v>29.6</v>
      </c>
      <c r="K52" s="6" t="n">
        <v>59.6</v>
      </c>
      <c r="L52" s="7" t="n">
        <v>2026</v>
      </c>
      <c r="M52" s="0" t="n">
        <f aca="false">D52/E52</f>
        <v>1.94117647058824</v>
      </c>
      <c r="N52" s="6" t="s">
        <v>143</v>
      </c>
      <c r="O52" s="6" t="n">
        <v>38.2</v>
      </c>
      <c r="P52" s="0" t="n">
        <v>1948</v>
      </c>
      <c r="Q52" s="6" t="s">
        <v>143</v>
      </c>
    </row>
    <row r="53" customFormat="false" ht="14.25" hidden="false" customHeight="false" outlineLevel="0" collapsed="false">
      <c r="A53" s="8" t="n">
        <v>1949</v>
      </c>
      <c r="B53" s="9" t="s">
        <v>144</v>
      </c>
      <c r="C53" s="9" t="s">
        <v>42</v>
      </c>
      <c r="D53" s="9" t="n">
        <v>50</v>
      </c>
      <c r="E53" s="9" t="n">
        <v>50</v>
      </c>
      <c r="F53" s="9" t="n">
        <v>18.845</v>
      </c>
      <c r="G53" s="9" t="n">
        <v>17.2</v>
      </c>
      <c r="H53" s="9" t="n">
        <v>10.6</v>
      </c>
      <c r="I53" s="9" t="n">
        <v>25.3</v>
      </c>
      <c r="J53" s="9" t="n">
        <v>23.3</v>
      </c>
      <c r="K53" s="9" t="n">
        <v>29</v>
      </c>
      <c r="L53" s="10" t="n">
        <v>2026</v>
      </c>
      <c r="M53" s="0" t="n">
        <f aca="false">D53/E53</f>
        <v>1</v>
      </c>
      <c r="N53" s="9" t="s">
        <v>145</v>
      </c>
      <c r="O53" s="9" t="n">
        <v>27.8</v>
      </c>
      <c r="P53" s="0" t="n">
        <v>1949</v>
      </c>
      <c r="Q53" s="9" t="s">
        <v>145</v>
      </c>
    </row>
    <row r="54" customFormat="false" ht="14.25" hidden="false" customHeight="false" outlineLevel="0" collapsed="false">
      <c r="A54" s="5" t="n">
        <v>1950</v>
      </c>
      <c r="B54" s="6" t="s">
        <v>146</v>
      </c>
      <c r="C54" s="6" t="s">
        <v>42</v>
      </c>
      <c r="D54" s="6" t="n">
        <v>52</v>
      </c>
      <c r="E54" s="6" t="n">
        <v>48</v>
      </c>
      <c r="F54" s="6" t="n">
        <v>18.8315</v>
      </c>
      <c r="G54" s="6" t="n">
        <v>12.1</v>
      </c>
      <c r="H54" s="6" t="n">
        <v>11</v>
      </c>
      <c r="I54" s="6" t="n">
        <v>32.6</v>
      </c>
      <c r="J54" s="6" t="n">
        <v>16.8</v>
      </c>
      <c r="K54" s="6" t="n">
        <v>21.6</v>
      </c>
      <c r="L54" s="7" t="n">
        <v>2026</v>
      </c>
      <c r="M54" s="0" t="n">
        <f aca="false">D54/E54</f>
        <v>1.08333333333333</v>
      </c>
      <c r="N54" s="6" t="s">
        <v>147</v>
      </c>
      <c r="O54" s="6" t="n">
        <v>28.3</v>
      </c>
      <c r="P54" s="0" t="n">
        <v>1950</v>
      </c>
      <c r="Q54" s="6" t="s">
        <v>147</v>
      </c>
    </row>
    <row r="55" customFormat="false" ht="14.25" hidden="false" customHeight="false" outlineLevel="0" collapsed="false">
      <c r="A55" s="8" t="n">
        <v>1951</v>
      </c>
      <c r="B55" s="9" t="s">
        <v>148</v>
      </c>
      <c r="C55" s="9" t="s">
        <v>54</v>
      </c>
      <c r="D55" s="9" t="n">
        <v>34</v>
      </c>
      <c r="E55" s="9" t="n">
        <v>66</v>
      </c>
      <c r="F55" s="9" t="n">
        <v>18.7885</v>
      </c>
      <c r="G55" s="9" t="n">
        <v>17.1</v>
      </c>
      <c r="H55" s="9" t="n">
        <v>7.6</v>
      </c>
      <c r="I55" s="9" t="n">
        <v>31.1</v>
      </c>
      <c r="J55" s="9" t="n">
        <v>18.5</v>
      </c>
      <c r="K55" s="9" t="n">
        <v>19.6</v>
      </c>
      <c r="L55" s="10" t="n">
        <v>2026</v>
      </c>
      <c r="M55" s="0" t="n">
        <f aca="false">D55/E55</f>
        <v>0.515151515151515</v>
      </c>
      <c r="N55" s="9" t="s">
        <v>149</v>
      </c>
      <c r="O55" s="9" t="n">
        <v>18</v>
      </c>
      <c r="P55" s="0" t="n">
        <v>1951</v>
      </c>
      <c r="Q55" s="9" t="s">
        <v>149</v>
      </c>
    </row>
    <row r="56" customFormat="false" ht="14.25" hidden="false" customHeight="false" outlineLevel="0" collapsed="false">
      <c r="A56" s="5" t="n">
        <v>1952</v>
      </c>
      <c r="B56" s="6" t="s">
        <v>150</v>
      </c>
      <c r="C56" s="6" t="s">
        <v>95</v>
      </c>
      <c r="D56" s="6" t="n">
        <v>54</v>
      </c>
      <c r="E56" s="6" t="n">
        <v>46</v>
      </c>
      <c r="F56" s="6" t="n">
        <v>18.7465</v>
      </c>
      <c r="G56" s="6" t="n">
        <v>20.9</v>
      </c>
      <c r="H56" s="6" t="n">
        <v>10.3</v>
      </c>
      <c r="I56" s="6" t="n">
        <v>21</v>
      </c>
      <c r="J56" s="6" t="n">
        <v>24.6</v>
      </c>
      <c r="K56" s="6" t="n">
        <v>30.8</v>
      </c>
      <c r="L56" s="7" t="n">
        <v>2026</v>
      </c>
      <c r="M56" s="0" t="n">
        <f aca="false">D56/E56</f>
        <v>1.17391304347826</v>
      </c>
      <c r="N56" s="6" t="s">
        <v>151</v>
      </c>
      <c r="O56" s="6" t="n">
        <v>13.9</v>
      </c>
      <c r="P56" s="0" t="n">
        <v>1952</v>
      </c>
      <c r="Q56" s="6" t="s">
        <v>151</v>
      </c>
    </row>
    <row r="57" customFormat="false" ht="14.25" hidden="false" customHeight="false" outlineLevel="0" collapsed="false">
      <c r="A57" s="8" t="n">
        <v>1953</v>
      </c>
      <c r="B57" s="9" t="s">
        <v>152</v>
      </c>
      <c r="C57" s="9" t="s">
        <v>153</v>
      </c>
      <c r="D57" s="9" t="n">
        <v>57</v>
      </c>
      <c r="E57" s="9" t="n">
        <v>43</v>
      </c>
      <c r="F57" s="9" t="n">
        <v>18.7465</v>
      </c>
      <c r="G57" s="9" t="n">
        <v>25.5</v>
      </c>
      <c r="H57" s="9" t="n">
        <v>12</v>
      </c>
      <c r="I57" s="9" t="n">
        <v>12.3</v>
      </c>
      <c r="J57" s="9" t="n">
        <v>36.1</v>
      </c>
      <c r="K57" s="9" t="n">
        <v>34.8</v>
      </c>
      <c r="L57" s="10" t="n">
        <v>2026</v>
      </c>
      <c r="M57" s="0" t="n">
        <f aca="false">D57/E57</f>
        <v>1.32558139534884</v>
      </c>
      <c r="N57" s="9" t="s">
        <v>154</v>
      </c>
      <c r="O57" s="9" t="n">
        <v>11</v>
      </c>
      <c r="P57" s="0" t="n">
        <v>1953</v>
      </c>
      <c r="Q57" s="9" t="s">
        <v>154</v>
      </c>
    </row>
    <row r="58" customFormat="false" ht="14.25" hidden="false" customHeight="false" outlineLevel="0" collapsed="false">
      <c r="A58" s="5" t="n">
        <v>1954</v>
      </c>
      <c r="B58" s="6" t="s">
        <v>155</v>
      </c>
      <c r="C58" s="6" t="s">
        <v>156</v>
      </c>
      <c r="D58" s="6" t="n">
        <v>53</v>
      </c>
      <c r="E58" s="6" t="n">
        <v>47</v>
      </c>
      <c r="F58" s="6" t="n">
        <v>18.7395</v>
      </c>
      <c r="G58" s="6" t="n">
        <v>16.3</v>
      </c>
      <c r="H58" s="6" t="n">
        <v>11.6</v>
      </c>
      <c r="I58" s="6" t="n">
        <v>26</v>
      </c>
      <c r="J58" s="6" t="n">
        <v>23.8</v>
      </c>
      <c r="K58" s="6" t="n">
        <v>24.2</v>
      </c>
      <c r="L58" s="7" t="n">
        <v>2026</v>
      </c>
      <c r="M58" s="0" t="n">
        <f aca="false">D58/E58</f>
        <v>1.12765957446809</v>
      </c>
      <c r="N58" s="6" t="s">
        <v>157</v>
      </c>
      <c r="O58" s="6" t="n">
        <v>24.9</v>
      </c>
      <c r="P58" s="0" t="n">
        <v>1954</v>
      </c>
      <c r="Q58" s="6" t="s">
        <v>157</v>
      </c>
    </row>
    <row r="59" customFormat="false" ht="14.25" hidden="false" customHeight="false" outlineLevel="0" collapsed="false">
      <c r="A59" s="8" t="n">
        <v>1955</v>
      </c>
      <c r="B59" s="9" t="s">
        <v>158</v>
      </c>
      <c r="C59" s="9" t="s">
        <v>81</v>
      </c>
      <c r="D59" s="9" t="n">
        <v>64</v>
      </c>
      <c r="E59" s="9" t="n">
        <v>36</v>
      </c>
      <c r="F59" s="9" t="n">
        <v>18.692</v>
      </c>
      <c r="G59" s="9" t="n">
        <v>21.2</v>
      </c>
      <c r="H59" s="9" t="n">
        <v>11.2</v>
      </c>
      <c r="I59" s="9" t="n">
        <v>23.2</v>
      </c>
      <c r="J59" s="9" t="n">
        <v>16</v>
      </c>
      <c r="K59" s="9" t="n">
        <v>21.2</v>
      </c>
      <c r="L59" s="10" t="n">
        <v>2026</v>
      </c>
      <c r="M59" s="0" t="n">
        <f aca="false">D59/E59</f>
        <v>1.77777777777778</v>
      </c>
      <c r="N59" s="9" t="s">
        <v>159</v>
      </c>
      <c r="O59" s="9" t="n">
        <v>28.4</v>
      </c>
      <c r="P59" s="0" t="n">
        <v>1955</v>
      </c>
      <c r="Q59" s="9" t="s">
        <v>159</v>
      </c>
    </row>
    <row r="60" customFormat="false" ht="14.25" hidden="false" customHeight="false" outlineLevel="0" collapsed="false">
      <c r="A60" s="5" t="n">
        <v>1956</v>
      </c>
      <c r="B60" s="6" t="s">
        <v>160</v>
      </c>
      <c r="C60" s="6" t="s">
        <v>161</v>
      </c>
      <c r="D60" s="6" t="n">
        <v>41</v>
      </c>
      <c r="E60" s="6" t="n">
        <v>59</v>
      </c>
      <c r="F60" s="6" t="n">
        <v>18.6805</v>
      </c>
      <c r="G60" s="6" t="n">
        <v>30.4</v>
      </c>
      <c r="H60" s="6" t="n">
        <v>9.4</v>
      </c>
      <c r="I60" s="6" t="n">
        <v>15.6</v>
      </c>
      <c r="J60" s="6" t="n">
        <v>16.6</v>
      </c>
      <c r="K60" s="6" t="n">
        <v>21.9</v>
      </c>
      <c r="L60" s="7" t="n">
        <v>2026</v>
      </c>
      <c r="M60" s="0" t="n">
        <f aca="false">D60/E60</f>
        <v>0.694915254237288</v>
      </c>
      <c r="N60" s="6" t="s">
        <v>162</v>
      </c>
      <c r="O60" s="6" t="n">
        <v>11</v>
      </c>
      <c r="P60" s="0" t="n">
        <v>1956</v>
      </c>
      <c r="Q60" s="6" t="s">
        <v>162</v>
      </c>
    </row>
    <row r="61" customFormat="false" ht="14.25" hidden="false" customHeight="false" outlineLevel="0" collapsed="false">
      <c r="A61" s="8" t="n">
        <v>1957</v>
      </c>
      <c r="B61" s="9" t="s">
        <v>163</v>
      </c>
      <c r="C61" s="9" t="s">
        <v>125</v>
      </c>
      <c r="D61" s="9" t="n">
        <v>65</v>
      </c>
      <c r="E61" s="9" t="n">
        <v>35</v>
      </c>
      <c r="F61" s="9" t="n">
        <v>18.6535</v>
      </c>
      <c r="G61" s="9" t="n">
        <v>18.9</v>
      </c>
      <c r="H61" s="9" t="n">
        <v>10.4</v>
      </c>
      <c r="I61" s="9" t="n">
        <v>21.2</v>
      </c>
      <c r="J61" s="9" t="n">
        <v>21.3</v>
      </c>
      <c r="K61" s="9" t="n">
        <v>38</v>
      </c>
      <c r="L61" s="10" t="n">
        <v>2026</v>
      </c>
      <c r="M61" s="0" t="n">
        <f aca="false">D61/E61</f>
        <v>1.85714285714286</v>
      </c>
      <c r="N61" s="9" t="s">
        <v>164</v>
      </c>
      <c r="O61" s="9" t="n">
        <v>15.8</v>
      </c>
      <c r="P61" s="0" t="n">
        <v>1957</v>
      </c>
      <c r="Q61" s="9" t="s">
        <v>164</v>
      </c>
    </row>
    <row r="62" customFormat="false" ht="14.25" hidden="false" customHeight="false" outlineLevel="0" collapsed="false">
      <c r="A62" s="5" t="n">
        <v>1958</v>
      </c>
      <c r="B62" s="6" t="s">
        <v>165</v>
      </c>
      <c r="C62" s="6" t="s">
        <v>117</v>
      </c>
      <c r="D62" s="6" t="n">
        <v>30</v>
      </c>
      <c r="E62" s="6" t="n">
        <v>70</v>
      </c>
      <c r="F62" s="6" t="n">
        <v>18.653</v>
      </c>
      <c r="G62" s="6" t="n">
        <v>18.2</v>
      </c>
      <c r="H62" s="6" t="n">
        <v>10.2</v>
      </c>
      <c r="I62" s="6" t="n">
        <v>21.5</v>
      </c>
      <c r="J62" s="6" t="n">
        <v>33.9</v>
      </c>
      <c r="K62" s="6" t="n">
        <v>33.6</v>
      </c>
      <c r="L62" s="7" t="n">
        <v>2026</v>
      </c>
      <c r="M62" s="0" t="n">
        <f aca="false">D62/E62</f>
        <v>0.428571428571429</v>
      </c>
      <c r="N62" s="6" t="s">
        <v>166</v>
      </c>
      <c r="O62" s="6" t="n">
        <v>22.4</v>
      </c>
      <c r="P62" s="0" t="n">
        <v>1958</v>
      </c>
      <c r="Q62" s="6" t="s">
        <v>166</v>
      </c>
    </row>
    <row r="63" customFormat="false" ht="14.25" hidden="false" customHeight="false" outlineLevel="0" collapsed="false">
      <c r="A63" s="8" t="n">
        <v>1959</v>
      </c>
      <c r="B63" s="9" t="s">
        <v>167</v>
      </c>
      <c r="C63" s="9" t="s">
        <v>168</v>
      </c>
      <c r="D63" s="9" t="n">
        <v>29</v>
      </c>
      <c r="E63" s="9" t="n">
        <v>71</v>
      </c>
      <c r="F63" s="9" t="n">
        <v>18.646</v>
      </c>
      <c r="G63" s="9" t="n">
        <v>23.4</v>
      </c>
      <c r="H63" s="9" t="n">
        <v>11.5</v>
      </c>
      <c r="I63" s="9" t="n">
        <v>15.5</v>
      </c>
      <c r="J63" s="9" t="n">
        <v>54.2</v>
      </c>
      <c r="K63" s="9" t="n">
        <v>21.2</v>
      </c>
      <c r="L63" s="10" t="n">
        <v>2026</v>
      </c>
      <c r="M63" s="0" t="n">
        <f aca="false">D63/E63</f>
        <v>0.408450704225352</v>
      </c>
      <c r="N63" s="9" t="s">
        <v>169</v>
      </c>
      <c r="O63" s="9" t="n">
        <v>10.2</v>
      </c>
      <c r="P63" s="0" t="n">
        <v>1959</v>
      </c>
      <c r="Q63" s="9" t="s">
        <v>169</v>
      </c>
    </row>
    <row r="64" customFormat="false" ht="14.25" hidden="false" customHeight="false" outlineLevel="0" collapsed="false">
      <c r="A64" s="5" t="n">
        <v>1960</v>
      </c>
      <c r="B64" s="6" t="s">
        <v>170</v>
      </c>
      <c r="C64" s="6" t="s">
        <v>54</v>
      </c>
      <c r="D64" s="6" t="n">
        <v>40</v>
      </c>
      <c r="E64" s="6" t="n">
        <v>60</v>
      </c>
      <c r="F64" s="6" t="n">
        <v>18.642</v>
      </c>
      <c r="G64" s="6" t="n">
        <v>19.6</v>
      </c>
      <c r="H64" s="6" t="n">
        <v>9</v>
      </c>
      <c r="I64" s="6" t="n">
        <v>26.7</v>
      </c>
      <c r="J64" s="6" t="n">
        <v>20</v>
      </c>
      <c r="K64" s="6" t="n">
        <v>19.2</v>
      </c>
      <c r="L64" s="7" t="n">
        <v>2026</v>
      </c>
      <c r="M64" s="0" t="n">
        <f aca="false">D64/E64</f>
        <v>0.666666666666667</v>
      </c>
      <c r="N64" s="6" t="s">
        <v>171</v>
      </c>
      <c r="O64" s="6" t="n">
        <v>16</v>
      </c>
      <c r="P64" s="0" t="n">
        <v>1960</v>
      </c>
      <c r="Q64" s="6" t="s">
        <v>171</v>
      </c>
    </row>
    <row r="65" customFormat="false" ht="14.25" hidden="false" customHeight="false" outlineLevel="0" collapsed="false">
      <c r="A65" s="8" t="n">
        <v>1961</v>
      </c>
      <c r="B65" s="9" t="s">
        <v>172</v>
      </c>
      <c r="C65" s="9" t="s">
        <v>42</v>
      </c>
      <c r="D65" s="9" t="n">
        <v>43</v>
      </c>
      <c r="E65" s="9" t="n">
        <v>57</v>
      </c>
      <c r="F65" s="9" t="n">
        <v>18.576</v>
      </c>
      <c r="G65" s="9" t="n">
        <v>20.7</v>
      </c>
      <c r="H65" s="9" t="n">
        <v>9.8</v>
      </c>
      <c r="I65" s="9" t="n">
        <v>23.1</v>
      </c>
      <c r="J65" s="9" t="n">
        <v>23</v>
      </c>
      <c r="K65" s="9" t="n">
        <v>23.7</v>
      </c>
      <c r="L65" s="10" t="n">
        <v>2026</v>
      </c>
      <c r="M65" s="0" t="n">
        <f aca="false">D65/E65</f>
        <v>0.754385964912281</v>
      </c>
      <c r="N65" s="9" t="s">
        <v>173</v>
      </c>
      <c r="O65" s="9" t="n">
        <v>16</v>
      </c>
      <c r="P65" s="0" t="n">
        <v>1961</v>
      </c>
      <c r="Q65" s="9" t="s">
        <v>173</v>
      </c>
    </row>
    <row r="66" customFormat="false" ht="14.25" hidden="false" customHeight="false" outlineLevel="0" collapsed="false">
      <c r="A66" s="5" t="n">
        <v>1962</v>
      </c>
      <c r="B66" s="6" t="s">
        <v>174</v>
      </c>
      <c r="C66" s="6" t="s">
        <v>175</v>
      </c>
      <c r="D66" s="6" t="n">
        <v>38</v>
      </c>
      <c r="E66" s="6" t="n">
        <v>62</v>
      </c>
      <c r="F66" s="6" t="n">
        <v>18.5745</v>
      </c>
      <c r="G66" s="6" t="n">
        <v>25</v>
      </c>
      <c r="H66" s="6" t="n">
        <v>8.1</v>
      </c>
      <c r="I66" s="6" t="n">
        <v>15.7</v>
      </c>
      <c r="J66" s="6" t="n">
        <v>19.7</v>
      </c>
      <c r="K66" s="6" t="n">
        <v>44.7</v>
      </c>
      <c r="L66" s="7" t="n">
        <v>2026</v>
      </c>
      <c r="M66" s="0" t="n">
        <f aca="false">D66/E66</f>
        <v>0.612903225806452</v>
      </c>
      <c r="N66" s="6" t="s">
        <v>176</v>
      </c>
      <c r="O66" s="6" t="n">
        <v>10.3</v>
      </c>
      <c r="P66" s="0" t="n">
        <v>1962</v>
      </c>
      <c r="Q66" s="6" t="s">
        <v>176</v>
      </c>
    </row>
    <row r="67" customFormat="false" ht="14.25" hidden="false" customHeight="false" outlineLevel="0" collapsed="false">
      <c r="A67" s="8" t="n">
        <v>1963</v>
      </c>
      <c r="B67" s="9" t="s">
        <v>177</v>
      </c>
      <c r="C67" s="9" t="s">
        <v>178</v>
      </c>
      <c r="D67" s="9" t="n">
        <v>39</v>
      </c>
      <c r="E67" s="9" t="n">
        <v>61</v>
      </c>
      <c r="F67" s="9" t="n">
        <v>18.5175</v>
      </c>
      <c r="G67" s="9" t="n">
        <v>17.7</v>
      </c>
      <c r="H67" s="9" t="n">
        <v>8.8</v>
      </c>
      <c r="I67" s="9" t="n">
        <v>24.3</v>
      </c>
      <c r="J67" s="9" t="n">
        <v>21.1</v>
      </c>
      <c r="K67" s="9" t="n">
        <v>34.8</v>
      </c>
      <c r="L67" s="10" t="n">
        <v>2026</v>
      </c>
      <c r="M67" s="0" t="n">
        <f aca="false">D67/E67</f>
        <v>0.639344262295082</v>
      </c>
      <c r="N67" s="9" t="s">
        <v>179</v>
      </c>
      <c r="O67" s="9" t="n">
        <v>37</v>
      </c>
      <c r="P67" s="0" t="n">
        <v>1963</v>
      </c>
      <c r="Q67" s="9" t="s">
        <v>179</v>
      </c>
    </row>
    <row r="68" customFormat="false" ht="14.25" hidden="false" customHeight="false" outlineLevel="0" collapsed="false">
      <c r="A68" s="5" t="n">
        <v>1964</v>
      </c>
      <c r="B68" s="6" t="s">
        <v>180</v>
      </c>
      <c r="C68" s="6" t="s">
        <v>42</v>
      </c>
      <c r="D68" s="6" t="n">
        <v>50</v>
      </c>
      <c r="E68" s="6" t="n">
        <v>50</v>
      </c>
      <c r="F68" s="6" t="n">
        <v>18.517</v>
      </c>
      <c r="G68" s="6" t="n">
        <v>16.5</v>
      </c>
      <c r="H68" s="6" t="n">
        <v>9.8</v>
      </c>
      <c r="I68" s="6" t="n">
        <v>26.4</v>
      </c>
      <c r="J68" s="6" t="n">
        <v>22.5</v>
      </c>
      <c r="K68" s="6" t="n">
        <v>26.5</v>
      </c>
      <c r="L68" s="7" t="n">
        <v>2026</v>
      </c>
      <c r="M68" s="0" t="n">
        <f aca="false">D68/E68</f>
        <v>1</v>
      </c>
      <c r="N68" s="6" t="s">
        <v>181</v>
      </c>
      <c r="O68" s="6" t="n">
        <v>31.1</v>
      </c>
      <c r="P68" s="0" t="n">
        <v>1964</v>
      </c>
      <c r="Q68" s="6" t="s">
        <v>181</v>
      </c>
    </row>
    <row r="69" customFormat="false" ht="14.25" hidden="false" customHeight="false" outlineLevel="0" collapsed="false">
      <c r="A69" s="8" t="n">
        <v>1965</v>
      </c>
      <c r="B69" s="9" t="s">
        <v>182</v>
      </c>
      <c r="C69" s="9" t="s">
        <v>183</v>
      </c>
      <c r="D69" s="9" t="n">
        <v>59</v>
      </c>
      <c r="E69" s="9" t="n">
        <v>41</v>
      </c>
      <c r="F69" s="9" t="n">
        <v>18.5135</v>
      </c>
      <c r="G69" s="9" t="n">
        <v>18.4</v>
      </c>
      <c r="H69" s="9" t="n">
        <v>9.1</v>
      </c>
      <c r="I69" s="9" t="n">
        <v>22.7</v>
      </c>
      <c r="J69" s="9" t="n">
        <v>17.6</v>
      </c>
      <c r="K69" s="9" t="n">
        <v>39.1</v>
      </c>
      <c r="L69" s="10" t="n">
        <v>2026</v>
      </c>
      <c r="M69" s="0" t="n">
        <f aca="false">D69/E69</f>
        <v>1.4390243902439</v>
      </c>
      <c r="N69" s="9" t="s">
        <v>184</v>
      </c>
      <c r="O69" s="9" t="n">
        <v>18</v>
      </c>
      <c r="P69" s="0" t="n">
        <v>1965</v>
      </c>
      <c r="Q69" s="9" t="s">
        <v>184</v>
      </c>
    </row>
    <row r="70" customFormat="false" ht="14.25" hidden="false" customHeight="false" outlineLevel="0" collapsed="false">
      <c r="A70" s="5" t="n">
        <v>1966</v>
      </c>
      <c r="B70" s="6" t="s">
        <v>185</v>
      </c>
      <c r="C70" s="6" t="s">
        <v>42</v>
      </c>
      <c r="D70" s="6" t="n">
        <v>53</v>
      </c>
      <c r="E70" s="6" t="n">
        <v>47</v>
      </c>
      <c r="F70" s="6" t="n">
        <v>18.513</v>
      </c>
      <c r="G70" s="6" t="n">
        <v>14.9</v>
      </c>
      <c r="H70" s="6" t="n">
        <v>11</v>
      </c>
      <c r="I70" s="6" t="n">
        <v>26.5</v>
      </c>
      <c r="J70" s="6" t="n">
        <v>19.5</v>
      </c>
      <c r="K70" s="6" t="n">
        <v>29.3</v>
      </c>
      <c r="L70" s="7" t="n">
        <v>2026</v>
      </c>
      <c r="M70" s="0" t="n">
        <f aca="false">D70/E70</f>
        <v>1.12765957446809</v>
      </c>
      <c r="N70" s="6" t="s">
        <v>186</v>
      </c>
      <c r="O70" s="6" t="n">
        <v>19.2</v>
      </c>
      <c r="P70" s="0" t="n">
        <v>1966</v>
      </c>
      <c r="Q70" s="6" t="s">
        <v>186</v>
      </c>
    </row>
    <row r="71" customFormat="false" ht="14.25" hidden="false" customHeight="false" outlineLevel="0" collapsed="false">
      <c r="A71" s="8" t="n">
        <v>1967</v>
      </c>
      <c r="B71" s="9" t="s">
        <v>187</v>
      </c>
      <c r="C71" s="9" t="s">
        <v>95</v>
      </c>
      <c r="D71" s="9" t="n">
        <v>37</v>
      </c>
      <c r="E71" s="9" t="n">
        <v>63</v>
      </c>
      <c r="F71" s="9" t="n">
        <v>18.501</v>
      </c>
      <c r="G71" s="9" t="n">
        <v>23</v>
      </c>
      <c r="H71" s="9" t="n">
        <v>10.2</v>
      </c>
      <c r="I71" s="9" t="n">
        <v>16.7</v>
      </c>
      <c r="J71" s="9" t="n">
        <v>29.2</v>
      </c>
      <c r="K71" s="9" t="n">
        <v>34.4</v>
      </c>
      <c r="L71" s="10" t="n">
        <v>2026</v>
      </c>
      <c r="M71" s="0" t="n">
        <f aca="false">D71/E71</f>
        <v>0.587301587301587</v>
      </c>
      <c r="N71" s="9" t="s">
        <v>188</v>
      </c>
      <c r="O71" s="9" t="n">
        <v>10.1</v>
      </c>
      <c r="P71" s="0" t="n">
        <v>1967</v>
      </c>
      <c r="Q71" s="9" t="s">
        <v>188</v>
      </c>
    </row>
    <row r="72" customFormat="false" ht="14.25" hidden="false" customHeight="false" outlineLevel="0" collapsed="false">
      <c r="A72" s="5" t="n">
        <v>1968</v>
      </c>
      <c r="B72" s="6" t="s">
        <v>189</v>
      </c>
      <c r="C72" s="6" t="s">
        <v>39</v>
      </c>
      <c r="D72" s="6" t="n">
        <v>40</v>
      </c>
      <c r="E72" s="6" t="n">
        <v>60</v>
      </c>
      <c r="F72" s="6" t="n">
        <v>18.4985</v>
      </c>
      <c r="G72" s="6" t="n">
        <v>21.8</v>
      </c>
      <c r="H72" s="6" t="n">
        <v>13.3</v>
      </c>
      <c r="I72" s="6" t="n">
        <v>13.1</v>
      </c>
      <c r="J72" s="6" t="n">
        <v>59.2</v>
      </c>
      <c r="K72" s="6" t="n">
        <v>25.5</v>
      </c>
      <c r="L72" s="7" t="n">
        <v>2026</v>
      </c>
      <c r="M72" s="0" t="n">
        <f aca="false">D72/E72</f>
        <v>0.666666666666667</v>
      </c>
      <c r="N72" s="6" t="s">
        <v>190</v>
      </c>
      <c r="O72" s="6" t="n">
        <v>12.5</v>
      </c>
      <c r="P72" s="0" t="n">
        <v>1968</v>
      </c>
      <c r="Q72" s="6" t="s">
        <v>190</v>
      </c>
    </row>
    <row r="73" customFormat="false" ht="14.25" hidden="false" customHeight="false" outlineLevel="0" collapsed="false">
      <c r="A73" s="8" t="n">
        <v>1968</v>
      </c>
      <c r="B73" s="9" t="s">
        <v>191</v>
      </c>
      <c r="C73" s="9" t="s">
        <v>81</v>
      </c>
      <c r="D73" s="9" t="n">
        <v>52</v>
      </c>
      <c r="E73" s="9" t="n">
        <v>48</v>
      </c>
      <c r="F73" s="9" t="n">
        <v>18.4985</v>
      </c>
      <c r="G73" s="9" t="n">
        <v>11.6</v>
      </c>
      <c r="H73" s="9" t="n">
        <v>9.6</v>
      </c>
      <c r="I73" s="9" t="n">
        <v>31.4</v>
      </c>
      <c r="J73" s="9" t="n">
        <v>16.5</v>
      </c>
      <c r="K73" s="9" t="n">
        <v>29.5</v>
      </c>
      <c r="L73" s="10" t="n">
        <v>2026</v>
      </c>
      <c r="M73" s="0" t="n">
        <f aca="false">D73/E73</f>
        <v>1.08333333333333</v>
      </c>
      <c r="N73" s="9" t="s">
        <v>192</v>
      </c>
      <c r="O73" s="9" t="n">
        <v>37</v>
      </c>
      <c r="P73" s="0" t="n">
        <v>1968</v>
      </c>
      <c r="Q73" s="9" t="s">
        <v>192</v>
      </c>
    </row>
    <row r="74" customFormat="false" ht="14.25" hidden="false" customHeight="false" outlineLevel="0" collapsed="false">
      <c r="A74" s="5" t="n">
        <v>1970</v>
      </c>
      <c r="B74" s="6" t="s">
        <v>193</v>
      </c>
      <c r="C74" s="6" t="s">
        <v>114</v>
      </c>
      <c r="D74" s="6" t="n">
        <v>63</v>
      </c>
      <c r="E74" s="6" t="n">
        <v>37</v>
      </c>
      <c r="F74" s="6" t="n">
        <v>18.4915</v>
      </c>
      <c r="G74" s="6" t="n">
        <v>18.2</v>
      </c>
      <c r="H74" s="6" t="n">
        <v>8.3</v>
      </c>
      <c r="I74" s="6" t="n">
        <v>23.6</v>
      </c>
      <c r="J74" s="6" t="n">
        <v>18.7</v>
      </c>
      <c r="K74" s="6" t="n">
        <v>38.5</v>
      </c>
      <c r="L74" s="7" t="n">
        <v>2026</v>
      </c>
      <c r="M74" s="0" t="n">
        <f aca="false">D74/E74</f>
        <v>1.7027027027027</v>
      </c>
      <c r="N74" s="6" t="s">
        <v>194</v>
      </c>
      <c r="O74" s="6" t="n">
        <v>17.5</v>
      </c>
      <c r="P74" s="0" t="n">
        <v>1970</v>
      </c>
      <c r="Q74" s="6" t="s">
        <v>194</v>
      </c>
    </row>
    <row r="75" customFormat="false" ht="14.25" hidden="false" customHeight="false" outlineLevel="0" collapsed="false">
      <c r="A75" s="8" t="n">
        <v>1971</v>
      </c>
      <c r="B75" s="9" t="s">
        <v>195</v>
      </c>
      <c r="C75" s="9" t="s">
        <v>81</v>
      </c>
      <c r="D75" s="9" t="n">
        <v>65</v>
      </c>
      <c r="E75" s="9" t="n">
        <v>35</v>
      </c>
      <c r="F75" s="9" t="n">
        <v>18.474</v>
      </c>
      <c r="G75" s="9" t="n">
        <v>13.8</v>
      </c>
      <c r="H75" s="9" t="n">
        <v>10.6</v>
      </c>
      <c r="I75" s="9" t="n">
        <v>25.7</v>
      </c>
      <c r="J75" s="9" t="n">
        <v>21.1</v>
      </c>
      <c r="K75" s="9" t="n">
        <v>37</v>
      </c>
      <c r="L75" s="10" t="n">
        <v>2026</v>
      </c>
      <c r="M75" s="0" t="n">
        <f aca="false">D75/E75</f>
        <v>1.85714285714286</v>
      </c>
      <c r="N75" s="9" t="s">
        <v>196</v>
      </c>
      <c r="O75" s="9" t="n">
        <v>29.7</v>
      </c>
      <c r="P75" s="0" t="n">
        <v>1971</v>
      </c>
      <c r="Q75" s="9" t="s">
        <v>196</v>
      </c>
    </row>
    <row r="76" customFormat="false" ht="14.25" hidden="false" customHeight="false" outlineLevel="0" collapsed="false">
      <c r="A76" s="5" t="n">
        <v>1972</v>
      </c>
      <c r="B76" s="6" t="s">
        <v>197</v>
      </c>
      <c r="C76" s="6" t="s">
        <v>22</v>
      </c>
      <c r="D76" s="6" t="n">
        <v>64</v>
      </c>
      <c r="E76" s="6" t="n">
        <v>36</v>
      </c>
      <c r="F76" s="6" t="n">
        <v>18.4715</v>
      </c>
      <c r="G76" s="6" t="n">
        <v>22.1</v>
      </c>
      <c r="H76" s="6" t="n">
        <v>9.4</v>
      </c>
      <c r="I76" s="6" t="n">
        <v>18.5</v>
      </c>
      <c r="J76" s="6" t="n">
        <v>16.9</v>
      </c>
      <c r="K76" s="6" t="n">
        <v>40</v>
      </c>
      <c r="L76" s="7" t="n">
        <v>2026</v>
      </c>
      <c r="M76" s="0" t="n">
        <f aca="false">D76/E76</f>
        <v>1.77777777777778</v>
      </c>
      <c r="N76" s="6" t="s">
        <v>198</v>
      </c>
      <c r="O76" s="6" t="n">
        <v>17.6</v>
      </c>
      <c r="P76" s="0" t="n">
        <v>1972</v>
      </c>
      <c r="Q76" s="6" t="s">
        <v>198</v>
      </c>
    </row>
    <row r="77" customFormat="false" ht="14.25" hidden="false" customHeight="false" outlineLevel="0" collapsed="false">
      <c r="A77" s="8" t="n">
        <v>1973</v>
      </c>
      <c r="B77" s="9" t="s">
        <v>199</v>
      </c>
      <c r="C77" s="9" t="s">
        <v>81</v>
      </c>
      <c r="D77" s="9" t="n">
        <v>45</v>
      </c>
      <c r="E77" s="9" t="n">
        <v>55</v>
      </c>
      <c r="F77" s="9" t="n">
        <v>18.462</v>
      </c>
      <c r="G77" s="9" t="n">
        <v>14.6</v>
      </c>
      <c r="H77" s="9" t="n">
        <v>11.7</v>
      </c>
      <c r="I77" s="9" t="n">
        <v>24.9</v>
      </c>
      <c r="J77" s="9" t="n">
        <v>17.8</v>
      </c>
      <c r="K77" s="9" t="n">
        <v>34.4</v>
      </c>
      <c r="L77" s="10" t="n">
        <v>2026</v>
      </c>
      <c r="M77" s="0" t="n">
        <f aca="false">D77/E77</f>
        <v>0.818181818181818</v>
      </c>
      <c r="N77" s="9" t="s">
        <v>200</v>
      </c>
      <c r="O77" s="9" t="n">
        <v>31.6</v>
      </c>
      <c r="P77" s="0" t="n">
        <v>1973</v>
      </c>
      <c r="Q77" s="9" t="s">
        <v>200</v>
      </c>
    </row>
    <row r="78" customFormat="false" ht="14.25" hidden="false" customHeight="false" outlineLevel="0" collapsed="false">
      <c r="A78" s="5" t="n">
        <v>1974</v>
      </c>
      <c r="B78" s="6" t="s">
        <v>201</v>
      </c>
      <c r="C78" s="6" t="s">
        <v>42</v>
      </c>
      <c r="D78" s="6" t="n">
        <v>52</v>
      </c>
      <c r="E78" s="6" t="n">
        <v>48</v>
      </c>
      <c r="F78" s="6" t="n">
        <v>18.427</v>
      </c>
      <c r="G78" s="6" t="n">
        <v>16.5</v>
      </c>
      <c r="H78" s="6" t="n">
        <v>10.4</v>
      </c>
      <c r="I78" s="6" t="n">
        <v>25.1</v>
      </c>
      <c r="J78" s="6" t="n">
        <v>18.9</v>
      </c>
      <c r="K78" s="6" t="n">
        <v>30.1</v>
      </c>
      <c r="L78" s="7" t="n">
        <v>2026</v>
      </c>
      <c r="M78" s="0" t="n">
        <f aca="false">D78/E78</f>
        <v>1.08333333333333</v>
      </c>
      <c r="N78" s="6" t="s">
        <v>202</v>
      </c>
      <c r="O78" s="6" t="n">
        <v>16.5</v>
      </c>
      <c r="P78" s="0" t="n">
        <v>1974</v>
      </c>
      <c r="Q78" s="6" t="s">
        <v>202</v>
      </c>
    </row>
    <row r="79" customFormat="false" ht="14.25" hidden="false" customHeight="false" outlineLevel="0" collapsed="false">
      <c r="A79" s="8" t="n">
        <v>1975</v>
      </c>
      <c r="B79" s="9" t="s">
        <v>203</v>
      </c>
      <c r="C79" s="9" t="s">
        <v>16</v>
      </c>
      <c r="D79" s="9" t="n">
        <v>36</v>
      </c>
      <c r="E79" s="9" t="n">
        <v>64</v>
      </c>
      <c r="F79" s="9" t="n">
        <v>18.4</v>
      </c>
      <c r="G79" s="9" t="n">
        <v>14.3</v>
      </c>
      <c r="H79" s="9" t="n">
        <v>14.1</v>
      </c>
      <c r="I79" s="9" t="n">
        <v>19.5</v>
      </c>
      <c r="J79" s="9" t="n">
        <v>47</v>
      </c>
      <c r="K79" s="9" t="n">
        <v>31.5</v>
      </c>
      <c r="L79" s="10" t="n">
        <v>2026</v>
      </c>
      <c r="M79" s="0" t="n">
        <f aca="false">D79/E79</f>
        <v>0.5625</v>
      </c>
      <c r="N79" s="9" t="s">
        <v>204</v>
      </c>
      <c r="O79" s="9" t="n">
        <v>23.2</v>
      </c>
      <c r="P79" s="0" t="n">
        <v>1975</v>
      </c>
      <c r="Q79" s="9" t="s">
        <v>204</v>
      </c>
    </row>
    <row r="80" customFormat="false" ht="14.25" hidden="false" customHeight="false" outlineLevel="0" collapsed="false">
      <c r="A80" s="5" t="n">
        <v>1976</v>
      </c>
      <c r="B80" s="6" t="s">
        <v>205</v>
      </c>
      <c r="C80" s="6" t="s">
        <v>36</v>
      </c>
      <c r="D80" s="6" t="n">
        <v>67</v>
      </c>
      <c r="E80" s="6" t="n">
        <v>33</v>
      </c>
      <c r="F80" s="6" t="n">
        <v>18.396</v>
      </c>
      <c r="G80" s="6" t="n">
        <v>23.3</v>
      </c>
      <c r="H80" s="6" t="n">
        <v>10.5</v>
      </c>
      <c r="I80" s="6" t="n">
        <v>19.5</v>
      </c>
      <c r="J80" s="6" t="n">
        <v>20.5</v>
      </c>
      <c r="K80" s="6" t="n">
        <v>24.1</v>
      </c>
      <c r="L80" s="7" t="n">
        <v>2026</v>
      </c>
      <c r="M80" s="0" t="n">
        <f aca="false">D80/E80</f>
        <v>2.03030303030303</v>
      </c>
      <c r="N80" s="6" t="s">
        <v>206</v>
      </c>
      <c r="O80" s="6" t="n">
        <v>19</v>
      </c>
      <c r="P80" s="0" t="n">
        <v>1976</v>
      </c>
      <c r="Q80" s="6" t="s">
        <v>206</v>
      </c>
    </row>
    <row r="81" customFormat="false" ht="14.25" hidden="false" customHeight="false" outlineLevel="0" collapsed="false">
      <c r="A81" s="8" t="n">
        <v>1977</v>
      </c>
      <c r="B81" s="9" t="s">
        <v>207</v>
      </c>
      <c r="C81" s="9" t="s">
        <v>208</v>
      </c>
      <c r="D81" s="9" t="n">
        <v>54</v>
      </c>
      <c r="E81" s="9" t="n">
        <v>46</v>
      </c>
      <c r="F81" s="9" t="n">
        <v>18.2915</v>
      </c>
      <c r="G81" s="9" t="n">
        <v>24.2</v>
      </c>
      <c r="H81" s="9" t="n">
        <v>8.6</v>
      </c>
      <c r="I81" s="9" t="n">
        <v>14.1</v>
      </c>
      <c r="J81" s="9" t="n">
        <v>19.4</v>
      </c>
      <c r="K81" s="9" t="n">
        <v>48.7</v>
      </c>
      <c r="L81" s="10" t="n">
        <v>2026</v>
      </c>
      <c r="M81" s="0" t="n">
        <f aca="false">D81/E81</f>
        <v>1.17391304347826</v>
      </c>
      <c r="N81" s="9" t="s">
        <v>209</v>
      </c>
      <c r="O81" s="9" t="n">
        <v>7.8</v>
      </c>
      <c r="P81" s="0" t="n">
        <v>1977</v>
      </c>
      <c r="Q81" s="9" t="s">
        <v>209</v>
      </c>
    </row>
    <row r="82" customFormat="false" ht="14.25" hidden="false" customHeight="false" outlineLevel="0" collapsed="false">
      <c r="A82" s="5" t="n">
        <v>1978</v>
      </c>
      <c r="B82" s="6" t="s">
        <v>210</v>
      </c>
      <c r="C82" s="6" t="s">
        <v>161</v>
      </c>
      <c r="D82" s="6" t="n">
        <v>63</v>
      </c>
      <c r="E82" s="6" t="n">
        <v>37</v>
      </c>
      <c r="F82" s="6" t="n">
        <v>18.288</v>
      </c>
      <c r="G82" s="6" t="n">
        <v>20</v>
      </c>
      <c r="H82" s="6" t="n">
        <v>8.9</v>
      </c>
      <c r="I82" s="6" t="n">
        <v>23.3</v>
      </c>
      <c r="J82" s="6" t="n">
        <v>16.8</v>
      </c>
      <c r="K82" s="6" t="n">
        <v>28.6</v>
      </c>
      <c r="L82" s="7" t="n">
        <v>2026</v>
      </c>
      <c r="M82" s="0" t="n">
        <f aca="false">D82/E82</f>
        <v>1.7027027027027</v>
      </c>
      <c r="N82" s="6" t="s">
        <v>211</v>
      </c>
      <c r="O82" s="6" t="n">
        <v>12.5</v>
      </c>
      <c r="P82" s="0" t="n">
        <v>1978</v>
      </c>
      <c r="Q82" s="6" t="s">
        <v>211</v>
      </c>
    </row>
    <row r="83" customFormat="false" ht="14.25" hidden="false" customHeight="false" outlineLevel="0" collapsed="false">
      <c r="A83" s="8" t="n">
        <v>1979</v>
      </c>
      <c r="B83" s="9" t="s">
        <v>212</v>
      </c>
      <c r="C83" s="9" t="s">
        <v>178</v>
      </c>
      <c r="D83" s="9" t="n">
        <v>63</v>
      </c>
      <c r="E83" s="9" t="n">
        <v>37</v>
      </c>
      <c r="F83" s="9" t="n">
        <v>18.284</v>
      </c>
      <c r="G83" s="9" t="n">
        <v>24.2</v>
      </c>
      <c r="H83" s="9" t="n">
        <v>10.1</v>
      </c>
      <c r="I83" s="9" t="n">
        <v>17.3</v>
      </c>
      <c r="J83" s="9" t="n">
        <v>16.4</v>
      </c>
      <c r="K83" s="9" t="n">
        <v>31.6</v>
      </c>
      <c r="L83" s="10" t="n">
        <v>2026</v>
      </c>
      <c r="M83" s="0" t="n">
        <f aca="false">D83/E83</f>
        <v>1.7027027027027</v>
      </c>
      <c r="N83" s="9" t="s">
        <v>213</v>
      </c>
      <c r="O83" s="9" t="n">
        <v>25.6</v>
      </c>
      <c r="P83" s="0" t="n">
        <v>1979</v>
      </c>
      <c r="Q83" s="9" t="s">
        <v>213</v>
      </c>
    </row>
    <row r="84" customFormat="false" ht="14.25" hidden="false" customHeight="false" outlineLevel="0" collapsed="false">
      <c r="A84" s="5" t="n">
        <v>1980</v>
      </c>
      <c r="B84" s="6" t="s">
        <v>214</v>
      </c>
      <c r="C84" s="6" t="s">
        <v>168</v>
      </c>
      <c r="D84" s="6" t="n">
        <v>44</v>
      </c>
      <c r="E84" s="6" t="n">
        <v>56</v>
      </c>
      <c r="F84" s="6" t="n">
        <v>18.276</v>
      </c>
      <c r="G84" s="6" t="n">
        <v>20.1</v>
      </c>
      <c r="H84" s="6" t="n">
        <v>8.3</v>
      </c>
      <c r="I84" s="6" t="n">
        <v>23.4</v>
      </c>
      <c r="J84" s="6" t="n">
        <v>24.8</v>
      </c>
      <c r="K84" s="6" t="n">
        <v>25.7</v>
      </c>
      <c r="L84" s="7" t="n">
        <v>2026</v>
      </c>
      <c r="M84" s="0" t="n">
        <f aca="false">D84/E84</f>
        <v>0.785714285714286</v>
      </c>
      <c r="N84" s="6" t="s">
        <v>215</v>
      </c>
      <c r="O84" s="6" t="n">
        <v>12</v>
      </c>
      <c r="P84" s="0" t="n">
        <v>1980</v>
      </c>
      <c r="Q84" s="6" t="s">
        <v>215</v>
      </c>
    </row>
    <row r="85" customFormat="false" ht="14.25" hidden="false" customHeight="false" outlineLevel="0" collapsed="false">
      <c r="A85" s="8" t="n">
        <v>1981</v>
      </c>
      <c r="B85" s="9" t="s">
        <v>216</v>
      </c>
      <c r="C85" s="9" t="s">
        <v>120</v>
      </c>
      <c r="D85" s="9" t="n">
        <v>35</v>
      </c>
      <c r="E85" s="9" t="n">
        <v>65</v>
      </c>
      <c r="F85" s="9" t="n">
        <v>18.2635</v>
      </c>
      <c r="G85" s="9" t="n">
        <v>15.6</v>
      </c>
      <c r="H85" s="9" t="n">
        <v>10</v>
      </c>
      <c r="I85" s="9" t="n">
        <v>26.1</v>
      </c>
      <c r="J85" s="9" t="n">
        <v>37.1</v>
      </c>
      <c r="K85" s="9" t="n">
        <v>19.3</v>
      </c>
      <c r="L85" s="10" t="n">
        <v>2026</v>
      </c>
      <c r="M85" s="0" t="n">
        <f aca="false">D85/E85</f>
        <v>0.538461538461538</v>
      </c>
      <c r="N85" s="9" t="s">
        <v>217</v>
      </c>
      <c r="O85" s="9" t="n">
        <v>15.6</v>
      </c>
      <c r="P85" s="0" t="n">
        <v>1981</v>
      </c>
      <c r="Q85" s="9" t="s">
        <v>217</v>
      </c>
    </row>
    <row r="86" customFormat="false" ht="14.25" hidden="false" customHeight="false" outlineLevel="0" collapsed="false">
      <c r="A86" s="5" t="n">
        <v>1982</v>
      </c>
      <c r="B86" s="6" t="s">
        <v>218</v>
      </c>
      <c r="C86" s="6" t="s">
        <v>153</v>
      </c>
      <c r="D86" s="6" t="n">
        <v>43</v>
      </c>
      <c r="E86" s="6" t="n">
        <v>57</v>
      </c>
      <c r="F86" s="6" t="n">
        <v>18.2115</v>
      </c>
      <c r="G86" s="6" t="n">
        <v>17.4</v>
      </c>
      <c r="H86" s="6" t="n">
        <v>11.1</v>
      </c>
      <c r="I86" s="6" t="n">
        <v>18.4</v>
      </c>
      <c r="J86" s="6" t="n">
        <v>21.3</v>
      </c>
      <c r="K86" s="6" t="n">
        <v>46.5</v>
      </c>
      <c r="L86" s="7" t="n">
        <v>2026</v>
      </c>
      <c r="M86" s="0" t="n">
        <f aca="false">D86/E86</f>
        <v>0.754385964912281</v>
      </c>
      <c r="N86" s="6" t="s">
        <v>219</v>
      </c>
      <c r="O86" s="6" t="n">
        <v>19</v>
      </c>
      <c r="P86" s="0" t="n">
        <v>1982</v>
      </c>
      <c r="Q86" s="6" t="s">
        <v>219</v>
      </c>
    </row>
    <row r="87" customFormat="false" ht="14.25" hidden="false" customHeight="false" outlineLevel="0" collapsed="false">
      <c r="A87" s="8" t="n">
        <v>1983</v>
      </c>
      <c r="B87" s="9" t="s">
        <v>220</v>
      </c>
      <c r="C87" s="9" t="s">
        <v>42</v>
      </c>
      <c r="D87" s="9" t="n">
        <v>52</v>
      </c>
      <c r="E87" s="9" t="n">
        <v>48</v>
      </c>
      <c r="F87" s="9" t="n">
        <v>18.171</v>
      </c>
      <c r="G87" s="9" t="n">
        <v>14.3</v>
      </c>
      <c r="H87" s="9" t="n">
        <v>18.6</v>
      </c>
      <c r="I87" s="9" t="n">
        <v>19.5</v>
      </c>
      <c r="J87" s="9" t="n">
        <v>21.4</v>
      </c>
      <c r="K87" s="9" t="n">
        <v>24.7</v>
      </c>
      <c r="L87" s="10" t="n">
        <v>2026</v>
      </c>
      <c r="M87" s="0" t="n">
        <f aca="false">D87/E87</f>
        <v>1.08333333333333</v>
      </c>
      <c r="N87" s="9" t="s">
        <v>221</v>
      </c>
      <c r="O87" s="9" t="n">
        <v>23.6</v>
      </c>
      <c r="P87" s="0" t="n">
        <v>1983</v>
      </c>
      <c r="Q87" s="9" t="s">
        <v>221</v>
      </c>
    </row>
    <row r="88" customFormat="false" ht="14.25" hidden="false" customHeight="false" outlineLevel="0" collapsed="false">
      <c r="A88" s="5" t="n">
        <v>1984</v>
      </c>
      <c r="B88" s="6" t="s">
        <v>222</v>
      </c>
      <c r="C88" s="6" t="s">
        <v>178</v>
      </c>
      <c r="D88" s="6" t="n">
        <v>56</v>
      </c>
      <c r="E88" s="6" t="n">
        <v>44</v>
      </c>
      <c r="F88" s="6" t="n">
        <v>18.147</v>
      </c>
      <c r="G88" s="6" t="n">
        <v>20.6</v>
      </c>
      <c r="H88" s="6" t="n">
        <v>8.8</v>
      </c>
      <c r="I88" s="6" t="n">
        <v>19.5</v>
      </c>
      <c r="J88" s="6" t="n">
        <v>21.2</v>
      </c>
      <c r="K88" s="6" t="n">
        <v>37.6</v>
      </c>
      <c r="L88" s="7" t="n">
        <v>2026</v>
      </c>
      <c r="M88" s="0" t="n">
        <f aca="false">D88/E88</f>
        <v>1.27272727272727</v>
      </c>
      <c r="N88" s="6" t="s">
        <v>223</v>
      </c>
      <c r="O88" s="6" t="n">
        <v>30.1</v>
      </c>
      <c r="P88" s="0" t="n">
        <v>1984</v>
      </c>
      <c r="Q88" s="6" t="s">
        <v>223</v>
      </c>
    </row>
    <row r="89" customFormat="false" ht="14.25" hidden="false" customHeight="false" outlineLevel="0" collapsed="false">
      <c r="A89" s="8" t="n">
        <v>1985</v>
      </c>
      <c r="B89" s="9" t="s">
        <v>224</v>
      </c>
      <c r="C89" s="9" t="s">
        <v>31</v>
      </c>
      <c r="D89" s="9" t="n">
        <v>61</v>
      </c>
      <c r="E89" s="9" t="n">
        <v>39</v>
      </c>
      <c r="F89" s="9" t="n">
        <v>18.1365</v>
      </c>
      <c r="G89" s="9" t="n">
        <v>21.6</v>
      </c>
      <c r="H89" s="9" t="n">
        <v>11</v>
      </c>
      <c r="I89" s="9" t="n">
        <v>14.8</v>
      </c>
      <c r="J89" s="9" t="n">
        <v>18.8</v>
      </c>
      <c r="K89" s="9" t="n">
        <v>45.1</v>
      </c>
      <c r="L89" s="10" t="n">
        <v>2026</v>
      </c>
      <c r="M89" s="0" t="n">
        <f aca="false">D89/E89</f>
        <v>1.56410256410256</v>
      </c>
      <c r="N89" s="9" t="s">
        <v>225</v>
      </c>
      <c r="O89" s="9" t="n">
        <v>10.1</v>
      </c>
      <c r="P89" s="0" t="n">
        <v>1985</v>
      </c>
      <c r="Q89" s="9" t="s">
        <v>225</v>
      </c>
    </row>
    <row r="90" customFormat="false" ht="14.25" hidden="false" customHeight="false" outlineLevel="0" collapsed="false">
      <c r="A90" s="5" t="n">
        <v>1986</v>
      </c>
      <c r="B90" s="6" t="s">
        <v>226</v>
      </c>
      <c r="C90" s="6" t="s">
        <v>109</v>
      </c>
      <c r="D90" s="6" t="n">
        <v>54</v>
      </c>
      <c r="E90" s="6" t="n">
        <v>46</v>
      </c>
      <c r="F90" s="6" t="n">
        <v>18.1105</v>
      </c>
      <c r="G90" s="6" t="n">
        <v>18.5</v>
      </c>
      <c r="H90" s="6" t="n">
        <v>9.2</v>
      </c>
      <c r="I90" s="6" t="n">
        <v>24.3</v>
      </c>
      <c r="J90" s="6" t="n">
        <v>23.5</v>
      </c>
      <c r="K90" s="6" t="n">
        <v>23.4</v>
      </c>
      <c r="L90" s="7" t="n">
        <v>2026</v>
      </c>
      <c r="M90" s="0" t="n">
        <f aca="false">D90/E90</f>
        <v>1.17391304347826</v>
      </c>
      <c r="N90" s="6" t="s">
        <v>227</v>
      </c>
      <c r="O90" s="6" t="n">
        <v>29.8</v>
      </c>
      <c r="P90" s="0" t="n">
        <v>1986</v>
      </c>
      <c r="Q90" s="6" t="s">
        <v>227</v>
      </c>
    </row>
    <row r="91" customFormat="false" ht="14.25" hidden="false" customHeight="false" outlineLevel="0" collapsed="false">
      <c r="A91" s="8" t="n">
        <v>1987</v>
      </c>
      <c r="B91" s="9" t="s">
        <v>228</v>
      </c>
      <c r="C91" s="9" t="s">
        <v>42</v>
      </c>
      <c r="D91" s="9" t="n">
        <v>46</v>
      </c>
      <c r="E91" s="9" t="n">
        <v>54</v>
      </c>
      <c r="F91" s="9" t="n">
        <v>18.0655</v>
      </c>
      <c r="G91" s="9" t="n">
        <v>23.9</v>
      </c>
      <c r="H91" s="9" t="n">
        <v>9.6</v>
      </c>
      <c r="I91" s="9" t="n">
        <v>18.2</v>
      </c>
      <c r="J91" s="9" t="n">
        <v>22.4</v>
      </c>
      <c r="K91" s="9" t="n">
        <v>25</v>
      </c>
      <c r="L91" s="10" t="n">
        <v>2026</v>
      </c>
      <c r="M91" s="0" t="n">
        <f aca="false">D91/E91</f>
        <v>0.851851851851852</v>
      </c>
      <c r="N91" s="9" t="s">
        <v>229</v>
      </c>
      <c r="O91" s="9" t="n">
        <v>21.4</v>
      </c>
      <c r="P91" s="0" t="n">
        <v>1987</v>
      </c>
      <c r="Q91" s="9" t="s">
        <v>229</v>
      </c>
    </row>
    <row r="92" customFormat="false" ht="14.25" hidden="false" customHeight="false" outlineLevel="0" collapsed="false">
      <c r="A92" s="5" t="n">
        <v>1988</v>
      </c>
      <c r="B92" s="6" t="s">
        <v>230</v>
      </c>
      <c r="C92" s="6" t="s">
        <v>95</v>
      </c>
      <c r="D92" s="6" t="n">
        <v>46</v>
      </c>
      <c r="E92" s="6" t="n">
        <v>54</v>
      </c>
      <c r="F92" s="6" t="n">
        <v>18.0575</v>
      </c>
      <c r="G92" s="6" t="n">
        <v>21.1</v>
      </c>
      <c r="H92" s="6" t="n">
        <v>16</v>
      </c>
      <c r="I92" s="6" t="n">
        <v>10.6</v>
      </c>
      <c r="J92" s="6" t="n">
        <v>51.2</v>
      </c>
      <c r="K92" s="6" t="n">
        <v>26.2</v>
      </c>
      <c r="L92" s="7" t="n">
        <v>2026</v>
      </c>
      <c r="M92" s="0" t="n">
        <f aca="false">D92/E92</f>
        <v>0.851851851851852</v>
      </c>
      <c r="N92" s="6" t="s">
        <v>231</v>
      </c>
      <c r="O92" s="6" t="n">
        <v>13.2</v>
      </c>
      <c r="P92" s="0" t="n">
        <v>1988</v>
      </c>
      <c r="Q92" s="6" t="s">
        <v>231</v>
      </c>
    </row>
    <row r="93" customFormat="false" ht="14.25" hidden="false" customHeight="false" outlineLevel="0" collapsed="false">
      <c r="A93" s="8" t="n">
        <v>1989</v>
      </c>
      <c r="B93" s="9" t="s">
        <v>232</v>
      </c>
      <c r="C93" s="9" t="s">
        <v>233</v>
      </c>
      <c r="D93" s="9" t="n">
        <v>45</v>
      </c>
      <c r="E93" s="9" t="n">
        <v>55</v>
      </c>
      <c r="F93" s="9" t="n">
        <v>18.0325</v>
      </c>
      <c r="G93" s="9" t="n">
        <v>16.3</v>
      </c>
      <c r="H93" s="9" t="n">
        <v>10.7</v>
      </c>
      <c r="I93" s="9" t="n">
        <v>17.5</v>
      </c>
      <c r="J93" s="9" t="n">
        <v>23.9</v>
      </c>
      <c r="K93" s="9" t="n">
        <v>52.2</v>
      </c>
      <c r="L93" s="10" t="n">
        <v>2026</v>
      </c>
      <c r="M93" s="0" t="n">
        <f aca="false">D93/E93</f>
        <v>0.818181818181818</v>
      </c>
      <c r="N93" s="9" t="s">
        <v>234</v>
      </c>
      <c r="O93" s="9" t="n">
        <v>62.2</v>
      </c>
      <c r="P93" s="0" t="n">
        <v>1989</v>
      </c>
      <c r="Q93" s="9" t="s">
        <v>234</v>
      </c>
    </row>
    <row r="94" customFormat="false" ht="14.25" hidden="false" customHeight="false" outlineLevel="0" collapsed="false">
      <c r="A94" s="5" t="n">
        <v>1990</v>
      </c>
      <c r="B94" s="6" t="s">
        <v>235</v>
      </c>
      <c r="C94" s="6" t="s">
        <v>114</v>
      </c>
      <c r="D94" s="6" t="n">
        <v>60</v>
      </c>
      <c r="E94" s="6" t="n">
        <v>40</v>
      </c>
      <c r="F94" s="6" t="n">
        <v>17.993</v>
      </c>
      <c r="G94" s="6" t="n">
        <v>27.3</v>
      </c>
      <c r="H94" s="6" t="n">
        <v>8.2</v>
      </c>
      <c r="I94" s="6" t="n">
        <v>13.7</v>
      </c>
      <c r="J94" s="6" t="n">
        <v>20.1</v>
      </c>
      <c r="K94" s="6" t="n">
        <v>35.3</v>
      </c>
      <c r="L94" s="7" t="n">
        <v>2026</v>
      </c>
      <c r="M94" s="0" t="n">
        <f aca="false">D94/E94</f>
        <v>1.5</v>
      </c>
      <c r="N94" s="6" t="s">
        <v>236</v>
      </c>
      <c r="O94" s="6" t="n">
        <v>15.7</v>
      </c>
      <c r="P94" s="0" t="n">
        <v>1990</v>
      </c>
      <c r="Q94" s="6" t="s">
        <v>236</v>
      </c>
    </row>
    <row r="95" customFormat="false" ht="14.25" hidden="false" customHeight="false" outlineLevel="0" collapsed="false">
      <c r="A95" s="8" t="n">
        <v>1991</v>
      </c>
      <c r="B95" s="9" t="s">
        <v>237</v>
      </c>
      <c r="C95" s="9" t="s">
        <v>42</v>
      </c>
      <c r="D95" s="9" t="n">
        <v>59</v>
      </c>
      <c r="E95" s="9" t="n">
        <v>41</v>
      </c>
      <c r="F95" s="9" t="n">
        <v>17.9745</v>
      </c>
      <c r="G95" s="9" t="n">
        <v>20.8</v>
      </c>
      <c r="H95" s="9" t="n">
        <v>11.8</v>
      </c>
      <c r="I95" s="9" t="n">
        <v>19</v>
      </c>
      <c r="J95" s="9" t="n">
        <v>24.6</v>
      </c>
      <c r="K95" s="9" t="n">
        <v>23.1</v>
      </c>
      <c r="L95" s="10" t="n">
        <v>2026</v>
      </c>
      <c r="M95" s="0" t="n">
        <f aca="false">D95/E95</f>
        <v>1.4390243902439</v>
      </c>
      <c r="N95" s="9" t="s">
        <v>238</v>
      </c>
      <c r="O95" s="9" t="n">
        <v>13.7</v>
      </c>
      <c r="P95" s="0" t="n">
        <v>1991</v>
      </c>
      <c r="Q95" s="9" t="s">
        <v>238</v>
      </c>
    </row>
    <row r="96" customFormat="false" ht="14.25" hidden="false" customHeight="false" outlineLevel="0" collapsed="false">
      <c r="A96" s="5" t="n">
        <v>1992</v>
      </c>
      <c r="B96" s="6" t="s">
        <v>239</v>
      </c>
      <c r="C96" s="6" t="s">
        <v>153</v>
      </c>
      <c r="D96" s="6" t="n">
        <v>50</v>
      </c>
      <c r="E96" s="6" t="n">
        <v>50</v>
      </c>
      <c r="F96" s="6" t="n">
        <v>17.973</v>
      </c>
      <c r="G96" s="6" t="n">
        <v>24.9</v>
      </c>
      <c r="H96" s="6" t="n">
        <v>9.4</v>
      </c>
      <c r="I96" s="6" t="n">
        <v>13.5</v>
      </c>
      <c r="J96" s="6" t="n">
        <v>21.1</v>
      </c>
      <c r="K96" s="6" t="n">
        <v>40.1</v>
      </c>
      <c r="L96" s="7" t="n">
        <v>2026</v>
      </c>
      <c r="M96" s="0" t="n">
        <f aca="false">D96/E96</f>
        <v>1</v>
      </c>
      <c r="N96" s="6" t="s">
        <v>240</v>
      </c>
      <c r="O96" s="6" t="n">
        <v>8.1</v>
      </c>
      <c r="P96" s="0" t="n">
        <v>1992</v>
      </c>
      <c r="Q96" s="6" t="s">
        <v>240</v>
      </c>
    </row>
    <row r="97" customFormat="false" ht="14.25" hidden="false" customHeight="false" outlineLevel="0" collapsed="false">
      <c r="A97" s="8" t="n">
        <v>1993</v>
      </c>
      <c r="B97" s="9" t="s">
        <v>241</v>
      </c>
      <c r="C97" s="9" t="s">
        <v>242</v>
      </c>
      <c r="D97" s="9" t="n">
        <v>56</v>
      </c>
      <c r="E97" s="9" t="n">
        <v>44</v>
      </c>
      <c r="F97" s="9" t="n">
        <v>17.942</v>
      </c>
      <c r="G97" s="9" t="n">
        <v>14.1</v>
      </c>
      <c r="H97" s="9" t="n">
        <v>9.3</v>
      </c>
      <c r="I97" s="9" t="n">
        <v>21.4</v>
      </c>
      <c r="J97" s="9" t="n">
        <v>16.7</v>
      </c>
      <c r="K97" s="9" t="n">
        <v>53.3</v>
      </c>
      <c r="L97" s="10" t="n">
        <v>2026</v>
      </c>
      <c r="M97" s="0" t="n">
        <f aca="false">D97/E97</f>
        <v>1.27272727272727</v>
      </c>
      <c r="N97" s="9" t="s">
        <v>243</v>
      </c>
      <c r="O97" s="9" t="n">
        <v>19.4</v>
      </c>
      <c r="P97" s="0" t="n">
        <v>1993</v>
      </c>
      <c r="Q97" s="9" t="s">
        <v>243</v>
      </c>
    </row>
    <row r="98" customFormat="false" ht="14.25" hidden="false" customHeight="false" outlineLevel="0" collapsed="false">
      <c r="A98" s="5" t="n">
        <v>1994</v>
      </c>
      <c r="B98" s="6" t="s">
        <v>244</v>
      </c>
      <c r="C98" s="6" t="s">
        <v>42</v>
      </c>
      <c r="D98" s="6" t="n">
        <v>53</v>
      </c>
      <c r="E98" s="6" t="n">
        <v>47</v>
      </c>
      <c r="F98" s="6" t="n">
        <v>17.936</v>
      </c>
      <c r="G98" s="6" t="n">
        <v>14</v>
      </c>
      <c r="H98" s="6" t="n">
        <v>11.1</v>
      </c>
      <c r="I98" s="6" t="n">
        <v>23.8</v>
      </c>
      <c r="J98" s="6" t="n">
        <v>21.3</v>
      </c>
      <c r="K98" s="6" t="n">
        <v>34.6</v>
      </c>
      <c r="L98" s="7" t="n">
        <v>2026</v>
      </c>
      <c r="M98" s="0" t="n">
        <f aca="false">D98/E98</f>
        <v>1.12765957446809</v>
      </c>
      <c r="N98" s="6" t="s">
        <v>245</v>
      </c>
      <c r="O98" s="6" t="n">
        <v>23.7</v>
      </c>
      <c r="P98" s="0" t="n">
        <v>1994</v>
      </c>
      <c r="Q98" s="6" t="s">
        <v>245</v>
      </c>
    </row>
    <row r="99" customFormat="false" ht="14.25" hidden="false" customHeight="false" outlineLevel="0" collapsed="false">
      <c r="A99" s="8" t="n">
        <v>1995</v>
      </c>
      <c r="B99" s="9" t="s">
        <v>246</v>
      </c>
      <c r="C99" s="9" t="s">
        <v>104</v>
      </c>
      <c r="D99" s="9" t="n">
        <v>51</v>
      </c>
      <c r="E99" s="9" t="n">
        <v>49</v>
      </c>
      <c r="F99" s="9" t="n">
        <v>17.935</v>
      </c>
      <c r="G99" s="9" t="n">
        <v>24.5</v>
      </c>
      <c r="H99" s="9" t="n">
        <v>9.2</v>
      </c>
      <c r="I99" s="9" t="n">
        <v>12.5</v>
      </c>
      <c r="J99" s="9" t="n">
        <v>19.3</v>
      </c>
      <c r="K99" s="9" t="n">
        <v>46.9</v>
      </c>
      <c r="L99" s="10" t="n">
        <v>2026</v>
      </c>
      <c r="M99" s="0" t="n">
        <f aca="false">D99/E99</f>
        <v>1.04081632653061</v>
      </c>
      <c r="N99" s="9" t="s">
        <v>247</v>
      </c>
      <c r="O99" s="9" t="n">
        <v>7.6</v>
      </c>
      <c r="P99" s="0" t="n">
        <v>1995</v>
      </c>
      <c r="Q99" s="9" t="s">
        <v>247</v>
      </c>
    </row>
    <row r="100" customFormat="false" ht="14.25" hidden="false" customHeight="false" outlineLevel="0" collapsed="false">
      <c r="A100" s="5" t="n">
        <v>1996</v>
      </c>
      <c r="B100" s="6" t="s">
        <v>248</v>
      </c>
      <c r="C100" s="6" t="s">
        <v>54</v>
      </c>
      <c r="D100" s="6" t="n">
        <v>35</v>
      </c>
      <c r="E100" s="6" t="n">
        <v>65</v>
      </c>
      <c r="F100" s="6" t="n">
        <v>17.9305</v>
      </c>
      <c r="G100" s="6" t="n">
        <v>18.6</v>
      </c>
      <c r="H100" s="6" t="n">
        <v>8.6</v>
      </c>
      <c r="I100" s="6" t="n">
        <v>25.3</v>
      </c>
      <c r="J100" s="6" t="n">
        <v>16.8</v>
      </c>
      <c r="K100" s="6" t="n">
        <v>22.5</v>
      </c>
      <c r="L100" s="7" t="n">
        <v>2026</v>
      </c>
      <c r="M100" s="0" t="n">
        <f aca="false">D100/E100</f>
        <v>0.538461538461538</v>
      </c>
      <c r="N100" s="6" t="s">
        <v>249</v>
      </c>
      <c r="O100" s="6" t="n">
        <v>12.8</v>
      </c>
      <c r="P100" s="0" t="n">
        <v>1996</v>
      </c>
      <c r="Q100" s="6" t="s">
        <v>249</v>
      </c>
    </row>
    <row r="101" customFormat="false" ht="14.25" hidden="false" customHeight="false" outlineLevel="0" collapsed="false">
      <c r="A101" s="8" t="n">
        <v>1997</v>
      </c>
      <c r="B101" s="9" t="s">
        <v>250</v>
      </c>
      <c r="C101" s="9" t="s">
        <v>42</v>
      </c>
      <c r="D101" s="9" t="n">
        <v>51</v>
      </c>
      <c r="E101" s="9" t="n">
        <v>49</v>
      </c>
      <c r="F101" s="9" t="n">
        <v>17.8935</v>
      </c>
      <c r="G101" s="9" t="n">
        <v>13.6</v>
      </c>
      <c r="H101" s="9" t="n">
        <v>10</v>
      </c>
      <c r="I101" s="9" t="n">
        <v>26.7</v>
      </c>
      <c r="J101" s="9" t="n">
        <v>17.1</v>
      </c>
      <c r="K101" s="9" t="n">
        <v>30.5</v>
      </c>
      <c r="L101" s="10" t="n">
        <v>2026</v>
      </c>
      <c r="M101" s="0" t="n">
        <f aca="false">D101/E101</f>
        <v>1.04081632653061</v>
      </c>
      <c r="N101" s="9" t="s">
        <v>251</v>
      </c>
      <c r="O101" s="9" t="n">
        <v>18.8</v>
      </c>
      <c r="P101" s="0" t="n">
        <v>1997</v>
      </c>
      <c r="Q101" s="9" t="s">
        <v>251</v>
      </c>
    </row>
    <row r="102" customFormat="false" ht="14.25" hidden="false" customHeight="false" outlineLevel="0" collapsed="false">
      <c r="A102" s="5" t="n">
        <v>1998</v>
      </c>
      <c r="B102" s="6" t="s">
        <v>252</v>
      </c>
      <c r="C102" s="6" t="s">
        <v>42</v>
      </c>
      <c r="D102" s="6" t="n">
        <v>62</v>
      </c>
      <c r="E102" s="6" t="n">
        <v>38</v>
      </c>
      <c r="F102" s="6" t="n">
        <v>17.88</v>
      </c>
      <c r="G102" s="6" t="n">
        <v>13.3</v>
      </c>
      <c r="H102" s="6" t="n">
        <v>9</v>
      </c>
      <c r="I102" s="6" t="n">
        <v>23.6</v>
      </c>
      <c r="J102" s="6" t="n">
        <v>19.1</v>
      </c>
      <c r="K102" s="6" t="n">
        <v>46.7</v>
      </c>
      <c r="L102" s="7" t="n">
        <v>2026</v>
      </c>
      <c r="M102" s="0" t="n">
        <f aca="false">D102/E102</f>
        <v>1.63157894736842</v>
      </c>
      <c r="N102" s="6" t="s">
        <v>253</v>
      </c>
      <c r="O102" s="6" t="n">
        <v>28.5</v>
      </c>
      <c r="P102" s="0" t="n">
        <v>1998</v>
      </c>
      <c r="Q102" s="6" t="s">
        <v>253</v>
      </c>
    </row>
    <row r="103" customFormat="false" ht="14.25" hidden="false" customHeight="false" outlineLevel="0" collapsed="false">
      <c r="A103" s="8" t="n">
        <v>1999</v>
      </c>
      <c r="B103" s="9" t="s">
        <v>254</v>
      </c>
      <c r="C103" s="9" t="s">
        <v>255</v>
      </c>
      <c r="D103" s="9" t="n">
        <v>53</v>
      </c>
      <c r="E103" s="9" t="n">
        <v>47</v>
      </c>
      <c r="F103" s="9" t="n">
        <v>17.864</v>
      </c>
      <c r="G103" s="9" t="n">
        <v>25.4</v>
      </c>
      <c r="H103" s="9" t="n">
        <v>9.1</v>
      </c>
      <c r="I103" s="9" t="n">
        <v>12.4</v>
      </c>
      <c r="J103" s="9" t="n">
        <v>22.3</v>
      </c>
      <c r="K103" s="9" t="n">
        <v>41.6</v>
      </c>
      <c r="L103" s="10" t="n">
        <v>2026</v>
      </c>
      <c r="M103" s="0" t="n">
        <f aca="false">D103/E103</f>
        <v>1.12765957446809</v>
      </c>
      <c r="N103" s="9" t="s">
        <v>256</v>
      </c>
      <c r="O103" s="9" t="n">
        <v>7.2</v>
      </c>
      <c r="P103" s="0" t="n">
        <v>1999</v>
      </c>
      <c r="Q103" s="9" t="s">
        <v>256</v>
      </c>
    </row>
    <row r="104" customFormat="false" ht="14.25" hidden="false" customHeight="false" outlineLevel="0" collapsed="false">
      <c r="A104" s="5" t="n">
        <v>2000</v>
      </c>
      <c r="B104" s="6" t="s">
        <v>257</v>
      </c>
      <c r="C104" s="6" t="s">
        <v>45</v>
      </c>
      <c r="D104" s="6" t="n">
        <v>28</v>
      </c>
      <c r="E104" s="6" t="n">
        <v>72</v>
      </c>
      <c r="F104" s="6" t="n">
        <v>17.848</v>
      </c>
      <c r="G104" s="6" t="n">
        <v>24.5</v>
      </c>
      <c r="H104" s="6" t="n">
        <v>9.2</v>
      </c>
      <c r="I104" s="6" t="n">
        <v>15.7</v>
      </c>
      <c r="J104" s="6" t="n">
        <v>19</v>
      </c>
      <c r="K104" s="6" t="n">
        <v>33.1</v>
      </c>
      <c r="L104" s="7" t="n">
        <v>2026</v>
      </c>
      <c r="M104" s="0" t="n">
        <f aca="false">D104/E104</f>
        <v>0.388888888888889</v>
      </c>
      <c r="N104" s="6" t="s">
        <v>258</v>
      </c>
      <c r="O104" s="6" t="n">
        <v>8.5</v>
      </c>
      <c r="P104" s="0" t="n">
        <v>2000</v>
      </c>
      <c r="Q104" s="6" t="s">
        <v>258</v>
      </c>
    </row>
    <row r="105" customFormat="false" ht="14.25" hidden="false" customHeight="false" outlineLevel="0" collapsed="false">
      <c r="A105" s="8" t="n">
        <v>2001</v>
      </c>
      <c r="B105" s="9" t="s">
        <v>259</v>
      </c>
      <c r="C105" s="9" t="s">
        <v>42</v>
      </c>
      <c r="D105" s="9" t="n">
        <v>56</v>
      </c>
      <c r="E105" s="9" t="n">
        <v>44</v>
      </c>
      <c r="F105" s="9" t="n">
        <v>17.775</v>
      </c>
      <c r="G105" s="9" t="n">
        <v>14.2</v>
      </c>
      <c r="H105" s="9" t="n">
        <v>10.7</v>
      </c>
      <c r="I105" s="9" t="n">
        <v>27.8</v>
      </c>
      <c r="J105" s="9" t="n">
        <v>17.2</v>
      </c>
      <c r="K105" s="9" t="n">
        <v>19.4</v>
      </c>
      <c r="L105" s="10" t="n">
        <v>2026</v>
      </c>
      <c r="M105" s="0" t="n">
        <f aca="false">D105/E105</f>
        <v>1.27272727272727</v>
      </c>
      <c r="N105" s="9" t="s">
        <v>260</v>
      </c>
      <c r="O105" s="9" t="n">
        <v>17.5</v>
      </c>
      <c r="P105" s="0" t="n">
        <v>2001</v>
      </c>
      <c r="Q105" s="9" t="s">
        <v>260</v>
      </c>
    </row>
    <row r="106" customFormat="false" ht="14.25" hidden="false" customHeight="false" outlineLevel="0" collapsed="false">
      <c r="A106" s="5" t="n">
        <v>2002</v>
      </c>
      <c r="B106" s="6" t="s">
        <v>261</v>
      </c>
      <c r="C106" s="6" t="s">
        <v>45</v>
      </c>
      <c r="D106" s="6" t="n">
        <v>14</v>
      </c>
      <c r="E106" s="6" t="n">
        <v>86</v>
      </c>
      <c r="F106" s="6" t="n">
        <v>17.7735</v>
      </c>
      <c r="G106" s="6" t="n">
        <v>21.3</v>
      </c>
      <c r="H106" s="6" t="n">
        <v>10.7</v>
      </c>
      <c r="I106" s="6" t="n">
        <v>17.4</v>
      </c>
      <c r="J106" s="6" t="n">
        <v>18.8</v>
      </c>
      <c r="K106" s="6" t="n">
        <v>32.2</v>
      </c>
      <c r="L106" s="7" t="n">
        <v>2026</v>
      </c>
      <c r="M106" s="0" t="n">
        <f aca="false">D106/E106</f>
        <v>0.162790697674419</v>
      </c>
      <c r="N106" s="6" t="s">
        <v>262</v>
      </c>
      <c r="O106" s="6" t="n">
        <v>12.6</v>
      </c>
      <c r="P106" s="0" t="n">
        <v>2002</v>
      </c>
      <c r="Q106" s="6" t="s">
        <v>262</v>
      </c>
    </row>
    <row r="107" customFormat="false" ht="14.25" hidden="false" customHeight="false" outlineLevel="0" collapsed="false">
      <c r="A107" s="8" t="n">
        <v>2003</v>
      </c>
      <c r="B107" s="9" t="s">
        <v>263</v>
      </c>
      <c r="C107" s="9" t="s">
        <v>125</v>
      </c>
      <c r="D107" s="9" t="n">
        <v>62</v>
      </c>
      <c r="E107" s="9" t="n">
        <v>38</v>
      </c>
      <c r="F107" s="9" t="n">
        <v>17.7545</v>
      </c>
      <c r="G107" s="9" t="n">
        <v>17</v>
      </c>
      <c r="H107" s="9" t="n">
        <v>10.3</v>
      </c>
      <c r="I107" s="9" t="n">
        <v>19.3</v>
      </c>
      <c r="J107" s="9" t="n">
        <v>23.5</v>
      </c>
      <c r="K107" s="9" t="n">
        <v>40.3</v>
      </c>
      <c r="L107" s="10" t="n">
        <v>2026</v>
      </c>
      <c r="M107" s="0" t="n">
        <f aca="false">D107/E107</f>
        <v>1.63157894736842</v>
      </c>
      <c r="N107" s="9" t="s">
        <v>264</v>
      </c>
      <c r="O107" s="9" t="n">
        <v>17.2</v>
      </c>
      <c r="P107" s="0" t="n">
        <v>2003</v>
      </c>
      <c r="Q107" s="9" t="s">
        <v>264</v>
      </c>
    </row>
    <row r="108" customFormat="false" ht="14.25" hidden="false" customHeight="false" outlineLevel="0" collapsed="false">
      <c r="A108" s="5" t="n">
        <v>2004</v>
      </c>
      <c r="B108" s="6" t="s">
        <v>265</v>
      </c>
      <c r="C108" s="6" t="s">
        <v>42</v>
      </c>
      <c r="D108" s="6" t="n">
        <v>26</v>
      </c>
      <c r="E108" s="6" t="n">
        <v>74</v>
      </c>
      <c r="F108" s="6" t="n">
        <v>17.7125</v>
      </c>
      <c r="G108" s="6" t="n">
        <v>11.5</v>
      </c>
      <c r="H108" s="6" t="n">
        <v>10.6</v>
      </c>
      <c r="I108" s="6" t="n">
        <v>25.1</v>
      </c>
      <c r="J108" s="6" t="n">
        <v>19.4</v>
      </c>
      <c r="K108" s="6" t="n">
        <v>39.2</v>
      </c>
      <c r="L108" s="7" t="n">
        <v>2026</v>
      </c>
      <c r="M108" s="0" t="n">
        <f aca="false">D108/E108</f>
        <v>0.351351351351351</v>
      </c>
      <c r="N108" s="6" t="s">
        <v>266</v>
      </c>
      <c r="O108" s="6" t="n">
        <v>59.1</v>
      </c>
      <c r="P108" s="0" t="n">
        <v>2004</v>
      </c>
      <c r="Q108" s="6" t="s">
        <v>266</v>
      </c>
    </row>
    <row r="109" customFormat="false" ht="14.25" hidden="false" customHeight="false" outlineLevel="0" collapsed="false">
      <c r="A109" s="8" t="n">
        <v>2005</v>
      </c>
      <c r="B109" s="9" t="s">
        <v>267</v>
      </c>
      <c r="C109" s="9" t="s">
        <v>268</v>
      </c>
      <c r="D109" s="9" t="n">
        <v>50</v>
      </c>
      <c r="E109" s="9" t="n">
        <v>50</v>
      </c>
      <c r="F109" s="9" t="n">
        <v>17.6975</v>
      </c>
      <c r="G109" s="9" t="n">
        <v>23.7</v>
      </c>
      <c r="H109" s="9" t="n">
        <v>8.3</v>
      </c>
      <c r="I109" s="9" t="n">
        <v>15.9</v>
      </c>
      <c r="J109" s="9" t="n">
        <v>16.6</v>
      </c>
      <c r="K109" s="9" t="n">
        <v>38.2</v>
      </c>
      <c r="L109" s="10" t="n">
        <v>2026</v>
      </c>
      <c r="M109" s="0" t="n">
        <f aca="false">D109/E109</f>
        <v>1</v>
      </c>
      <c r="N109" s="9" t="s">
        <v>269</v>
      </c>
      <c r="O109" s="9" t="n">
        <v>11.3</v>
      </c>
      <c r="P109" s="0" t="n">
        <v>2005</v>
      </c>
      <c r="Q109" s="9" t="s">
        <v>269</v>
      </c>
    </row>
    <row r="110" customFormat="false" ht="14.25" hidden="false" customHeight="false" outlineLevel="0" collapsed="false">
      <c r="A110" s="5" t="n">
        <v>2006</v>
      </c>
      <c r="B110" s="6" t="s">
        <v>270</v>
      </c>
      <c r="C110" s="6" t="s">
        <v>271</v>
      </c>
      <c r="D110" s="6" t="n">
        <v>66</v>
      </c>
      <c r="E110" s="6" t="n">
        <v>34</v>
      </c>
      <c r="F110" s="6" t="n">
        <v>17.6965</v>
      </c>
      <c r="G110" s="6" t="n">
        <v>17</v>
      </c>
      <c r="H110" s="6" t="n">
        <v>8.4</v>
      </c>
      <c r="I110" s="6" t="n">
        <v>23.2</v>
      </c>
      <c r="J110" s="6" t="n">
        <v>19.7</v>
      </c>
      <c r="K110" s="6" t="n">
        <v>33.3</v>
      </c>
      <c r="L110" s="7" t="n">
        <v>2026</v>
      </c>
      <c r="M110" s="0" t="n">
        <f aca="false">D110/E110</f>
        <v>1.94117647058824</v>
      </c>
      <c r="N110" s="6" t="s">
        <v>272</v>
      </c>
      <c r="O110" s="6" t="n">
        <v>17.2</v>
      </c>
      <c r="P110" s="0" t="n">
        <v>2006</v>
      </c>
      <c r="Q110" s="6" t="s">
        <v>272</v>
      </c>
    </row>
    <row r="111" customFormat="false" ht="14.25" hidden="false" customHeight="false" outlineLevel="0" collapsed="false">
      <c r="A111" s="8" t="n">
        <v>2007</v>
      </c>
      <c r="B111" s="9" t="s">
        <v>273</v>
      </c>
      <c r="C111" s="9" t="s">
        <v>95</v>
      </c>
      <c r="D111" s="9" t="n">
        <v>28</v>
      </c>
      <c r="E111" s="9" t="n">
        <v>72</v>
      </c>
      <c r="F111" s="9" t="n">
        <v>17.6255</v>
      </c>
      <c r="G111" s="9" t="n">
        <v>16.6</v>
      </c>
      <c r="H111" s="9" t="n">
        <v>11.4</v>
      </c>
      <c r="I111" s="9" t="n">
        <v>15</v>
      </c>
      <c r="J111" s="9" t="n">
        <v>49</v>
      </c>
      <c r="K111" s="9" t="n">
        <v>39.5</v>
      </c>
      <c r="L111" s="10" t="n">
        <v>2026</v>
      </c>
      <c r="M111" s="0" t="n">
        <f aca="false">D111/E111</f>
        <v>0.388888888888889</v>
      </c>
      <c r="N111" s="9" t="s">
        <v>274</v>
      </c>
      <c r="O111" s="9" t="n">
        <v>22.2</v>
      </c>
      <c r="P111" s="0" t="n">
        <v>2007</v>
      </c>
      <c r="Q111" s="9" t="s">
        <v>274</v>
      </c>
    </row>
    <row r="112" customFormat="false" ht="14.25" hidden="false" customHeight="false" outlineLevel="0" collapsed="false">
      <c r="A112" s="5" t="n">
        <v>2008</v>
      </c>
      <c r="B112" s="6" t="s">
        <v>275</v>
      </c>
      <c r="C112" s="6" t="s">
        <v>109</v>
      </c>
      <c r="D112" s="6" t="n">
        <v>54</v>
      </c>
      <c r="E112" s="6" t="n">
        <v>46</v>
      </c>
      <c r="F112" s="6" t="n">
        <v>17.6035</v>
      </c>
      <c r="G112" s="6" t="n">
        <v>21.4</v>
      </c>
      <c r="H112" s="6" t="n">
        <v>9.8</v>
      </c>
      <c r="I112" s="6" t="n">
        <v>18.7</v>
      </c>
      <c r="J112" s="6" t="n">
        <v>17.9</v>
      </c>
      <c r="K112" s="6" t="n">
        <v>28.3</v>
      </c>
      <c r="L112" s="7" t="n">
        <v>2026</v>
      </c>
      <c r="M112" s="0" t="n">
        <f aca="false">D112/E112</f>
        <v>1.17391304347826</v>
      </c>
      <c r="N112" s="6" t="s">
        <v>276</v>
      </c>
      <c r="O112" s="6" t="n">
        <v>11.2</v>
      </c>
      <c r="P112" s="0" t="n">
        <v>2008</v>
      </c>
      <c r="Q112" s="6" t="s">
        <v>276</v>
      </c>
    </row>
    <row r="113" customFormat="false" ht="14.25" hidden="false" customHeight="false" outlineLevel="0" collapsed="false">
      <c r="A113" s="8" t="n">
        <v>2009</v>
      </c>
      <c r="B113" s="9" t="s">
        <v>277</v>
      </c>
      <c r="C113" s="9" t="s">
        <v>42</v>
      </c>
      <c r="D113" s="9" t="n">
        <v>51</v>
      </c>
      <c r="E113" s="9" t="n">
        <v>49</v>
      </c>
      <c r="F113" s="9" t="n">
        <v>17.5975</v>
      </c>
      <c r="G113" s="9" t="n">
        <v>12.5</v>
      </c>
      <c r="H113" s="9" t="n">
        <v>10.9</v>
      </c>
      <c r="I113" s="9" t="n">
        <v>25.8</v>
      </c>
      <c r="J113" s="9" t="n">
        <v>17.1</v>
      </c>
      <c r="K113" s="9" t="n">
        <v>31</v>
      </c>
      <c r="L113" s="10" t="n">
        <v>2026</v>
      </c>
      <c r="M113" s="0" t="n">
        <f aca="false">D113/E113</f>
        <v>1.04081632653061</v>
      </c>
      <c r="N113" s="9" t="s">
        <v>278</v>
      </c>
      <c r="O113" s="9" t="n">
        <v>26.4</v>
      </c>
      <c r="P113" s="0" t="n">
        <v>2009</v>
      </c>
      <c r="Q113" s="9" t="s">
        <v>278</v>
      </c>
    </row>
    <row r="114" customFormat="false" ht="14.25" hidden="false" customHeight="false" outlineLevel="0" collapsed="false">
      <c r="A114" s="5" t="n">
        <v>2010</v>
      </c>
      <c r="B114" s="6" t="s">
        <v>279</v>
      </c>
      <c r="C114" s="6" t="s">
        <v>109</v>
      </c>
      <c r="D114" s="6" t="n">
        <v>48</v>
      </c>
      <c r="E114" s="6" t="n">
        <v>52</v>
      </c>
      <c r="F114" s="6" t="n">
        <v>17.59</v>
      </c>
      <c r="G114" s="6" t="n">
        <v>20.9</v>
      </c>
      <c r="H114" s="6" t="n">
        <v>12.6</v>
      </c>
      <c r="I114" s="6" t="n">
        <v>14.8</v>
      </c>
      <c r="J114" s="6" t="n">
        <v>27.2</v>
      </c>
      <c r="K114" s="6" t="n">
        <v>29.9</v>
      </c>
      <c r="L114" s="7" t="n">
        <v>2026</v>
      </c>
      <c r="M114" s="0" t="n">
        <f aca="false">D114/E114</f>
        <v>0.923076923076923</v>
      </c>
      <c r="N114" s="6" t="s">
        <v>280</v>
      </c>
      <c r="O114" s="6" t="n">
        <v>28.3</v>
      </c>
      <c r="P114" s="0" t="n">
        <v>2010</v>
      </c>
      <c r="Q114" s="6" t="s">
        <v>280</v>
      </c>
    </row>
    <row r="115" customFormat="false" ht="14.25" hidden="false" customHeight="false" outlineLevel="0" collapsed="false">
      <c r="A115" s="8" t="n">
        <v>2011</v>
      </c>
      <c r="B115" s="9" t="s">
        <v>281</v>
      </c>
      <c r="C115" s="9" t="s">
        <v>39</v>
      </c>
      <c r="D115" s="9" t="n">
        <v>26</v>
      </c>
      <c r="E115" s="9" t="n">
        <v>74</v>
      </c>
      <c r="F115" s="9" t="n">
        <v>17.59</v>
      </c>
      <c r="G115" s="9" t="n">
        <v>17.9</v>
      </c>
      <c r="H115" s="9" t="n">
        <v>12</v>
      </c>
      <c r="I115" s="9" t="n">
        <v>15.7</v>
      </c>
      <c r="J115" s="9" t="n">
        <v>47.3</v>
      </c>
      <c r="K115" s="9" t="n">
        <v>29.7</v>
      </c>
      <c r="L115" s="10" t="n">
        <v>2026</v>
      </c>
      <c r="M115" s="0" t="n">
        <f aca="false">D115/E115</f>
        <v>0.351351351351351</v>
      </c>
      <c r="N115" s="9" t="s">
        <v>282</v>
      </c>
      <c r="O115" s="9" t="n">
        <v>28.2</v>
      </c>
      <c r="P115" s="0" t="n">
        <v>2011</v>
      </c>
      <c r="Q115" s="9" t="s">
        <v>282</v>
      </c>
    </row>
    <row r="116" customFormat="false" ht="14.25" hidden="false" customHeight="false" outlineLevel="0" collapsed="false">
      <c r="A116" s="5" t="n">
        <v>2012</v>
      </c>
      <c r="B116" s="6" t="s">
        <v>283</v>
      </c>
      <c r="C116" s="6" t="s">
        <v>95</v>
      </c>
      <c r="D116" s="6" t="n">
        <v>37</v>
      </c>
      <c r="E116" s="6" t="n">
        <v>63</v>
      </c>
      <c r="F116" s="6" t="n">
        <v>17.525</v>
      </c>
      <c r="G116" s="6" t="n">
        <v>18.1</v>
      </c>
      <c r="H116" s="6" t="n">
        <v>12.9</v>
      </c>
      <c r="I116" s="6" t="n">
        <v>14.3</v>
      </c>
      <c r="J116" s="6" t="n">
        <v>32.8</v>
      </c>
      <c r="K116" s="6" t="n">
        <v>37.9</v>
      </c>
      <c r="L116" s="7" t="n">
        <v>2026</v>
      </c>
      <c r="M116" s="0" t="n">
        <f aca="false">D116/E116</f>
        <v>0.587301587301587</v>
      </c>
      <c r="N116" s="6" t="s">
        <v>284</v>
      </c>
      <c r="O116" s="6" t="n">
        <v>16.5</v>
      </c>
      <c r="P116" s="0" t="n">
        <v>2012</v>
      </c>
      <c r="Q116" s="6" t="s">
        <v>284</v>
      </c>
    </row>
    <row r="117" customFormat="false" ht="14.25" hidden="false" customHeight="false" outlineLevel="0" collapsed="false">
      <c r="A117" s="8" t="n">
        <v>2013</v>
      </c>
      <c r="B117" s="9" t="s">
        <v>285</v>
      </c>
      <c r="C117" s="9" t="s">
        <v>42</v>
      </c>
      <c r="D117" s="9" t="n">
        <v>50</v>
      </c>
      <c r="E117" s="9" t="n">
        <v>50</v>
      </c>
      <c r="F117" s="9" t="n">
        <v>17.5175</v>
      </c>
      <c r="G117" s="9" t="n">
        <v>12.2</v>
      </c>
      <c r="H117" s="9" t="n">
        <v>9.2</v>
      </c>
      <c r="I117" s="9" t="n">
        <v>29.3</v>
      </c>
      <c r="J117" s="9" t="n">
        <v>16.7</v>
      </c>
      <c r="K117" s="9" t="n">
        <v>23.9</v>
      </c>
      <c r="L117" s="10" t="n">
        <v>2026</v>
      </c>
      <c r="M117" s="0" t="n">
        <f aca="false">D117/E117</f>
        <v>1</v>
      </c>
      <c r="N117" s="9" t="s">
        <v>286</v>
      </c>
      <c r="O117" s="9" t="n">
        <v>25.5</v>
      </c>
      <c r="P117" s="0" t="n">
        <v>2013</v>
      </c>
      <c r="Q117" s="9" t="s">
        <v>286</v>
      </c>
    </row>
    <row r="118" customFormat="false" ht="14.25" hidden="false" customHeight="false" outlineLevel="0" collapsed="false">
      <c r="A118" s="5" t="n">
        <v>2014</v>
      </c>
      <c r="B118" s="6" t="s">
        <v>287</v>
      </c>
      <c r="C118" s="6" t="s">
        <v>114</v>
      </c>
      <c r="D118" s="6" t="n">
        <v>65</v>
      </c>
      <c r="E118" s="6" t="n">
        <v>35</v>
      </c>
      <c r="F118" s="6" t="n">
        <v>17.5065</v>
      </c>
      <c r="G118" s="6" t="n">
        <v>18.6</v>
      </c>
      <c r="H118" s="6" t="n">
        <v>9.1</v>
      </c>
      <c r="I118" s="6" t="n">
        <v>21.3</v>
      </c>
      <c r="J118" s="6" t="n">
        <v>17.2</v>
      </c>
      <c r="K118" s="6" t="n">
        <v>30.7</v>
      </c>
      <c r="L118" s="7" t="n">
        <v>2026</v>
      </c>
      <c r="M118" s="0" t="n">
        <f aca="false">D118/E118</f>
        <v>1.85714285714286</v>
      </c>
      <c r="N118" s="6" t="s">
        <v>288</v>
      </c>
      <c r="O118" s="6" t="n">
        <v>15.4</v>
      </c>
      <c r="P118" s="0" t="n">
        <v>2014</v>
      </c>
      <c r="Q118" s="6" t="s">
        <v>288</v>
      </c>
    </row>
    <row r="119" customFormat="false" ht="14.25" hidden="false" customHeight="false" outlineLevel="0" collapsed="false">
      <c r="A119" s="8" t="n">
        <v>2015</v>
      </c>
      <c r="B119" s="9" t="s">
        <v>289</v>
      </c>
      <c r="C119" s="9" t="s">
        <v>16</v>
      </c>
      <c r="D119" s="9" t="n">
        <v>41</v>
      </c>
      <c r="E119" s="9" t="n">
        <v>59</v>
      </c>
      <c r="F119" s="9" t="n">
        <v>17.506</v>
      </c>
      <c r="G119" s="9" t="n">
        <v>13.1</v>
      </c>
      <c r="H119" s="9" t="n">
        <v>19.5</v>
      </c>
      <c r="I119" s="9" t="n">
        <v>13.3</v>
      </c>
      <c r="J119" s="9" t="n">
        <v>37.1</v>
      </c>
      <c r="K119" s="9" t="n">
        <v>33.5</v>
      </c>
      <c r="L119" s="10" t="n">
        <v>2026</v>
      </c>
      <c r="M119" s="0" t="n">
        <f aca="false">D119/E119</f>
        <v>0.694915254237288</v>
      </c>
      <c r="N119" s="9" t="s">
        <v>34</v>
      </c>
      <c r="O119" s="9" t="n">
        <v>26.7</v>
      </c>
      <c r="P119" s="0" t="n">
        <v>2015</v>
      </c>
      <c r="Q119" s="9" t="s">
        <v>34</v>
      </c>
    </row>
    <row r="120" customFormat="false" ht="14.25" hidden="false" customHeight="false" outlineLevel="0" collapsed="false">
      <c r="A120" s="5" t="n">
        <v>2016</v>
      </c>
      <c r="B120" s="6" t="s">
        <v>290</v>
      </c>
      <c r="C120" s="6" t="s">
        <v>291</v>
      </c>
      <c r="D120" s="6" t="n">
        <v>64</v>
      </c>
      <c r="E120" s="6" t="n">
        <v>36</v>
      </c>
      <c r="F120" s="6" t="n">
        <v>17.475</v>
      </c>
      <c r="G120" s="6" t="n">
        <v>17.1</v>
      </c>
      <c r="H120" s="6" t="n">
        <v>13.2</v>
      </c>
      <c r="I120" s="6" t="n">
        <v>15.4</v>
      </c>
      <c r="J120" s="6" t="n">
        <v>21</v>
      </c>
      <c r="K120" s="6" t="n">
        <v>41.9</v>
      </c>
      <c r="L120" s="7" t="n">
        <v>2026</v>
      </c>
      <c r="M120" s="0" t="n">
        <f aca="false">D120/E120</f>
        <v>1.77777777777778</v>
      </c>
      <c r="N120" s="6" t="s">
        <v>292</v>
      </c>
      <c r="O120" s="6" t="n">
        <v>18</v>
      </c>
      <c r="P120" s="0" t="n">
        <v>2016</v>
      </c>
      <c r="Q120" s="6" t="s">
        <v>292</v>
      </c>
    </row>
    <row r="121" customFormat="false" ht="14.25" hidden="false" customHeight="false" outlineLevel="0" collapsed="false">
      <c r="A121" s="8" t="n">
        <v>2017</v>
      </c>
      <c r="B121" s="9" t="s">
        <v>293</v>
      </c>
      <c r="C121" s="9" t="s">
        <v>294</v>
      </c>
      <c r="D121" s="9" t="n">
        <v>68</v>
      </c>
      <c r="E121" s="9" t="n">
        <v>32</v>
      </c>
      <c r="F121" s="9" t="n">
        <v>17.4715</v>
      </c>
      <c r="G121" s="9" t="n">
        <v>13.5</v>
      </c>
      <c r="H121" s="9" t="n">
        <v>12.6</v>
      </c>
      <c r="I121" s="9" t="n">
        <v>20</v>
      </c>
      <c r="J121" s="9" t="n">
        <v>20.5</v>
      </c>
      <c r="K121" s="9" t="n">
        <v>40.2</v>
      </c>
      <c r="L121" s="10" t="n">
        <v>2026</v>
      </c>
      <c r="M121" s="0" t="n">
        <f aca="false">D121/E121</f>
        <v>2.125</v>
      </c>
      <c r="N121" s="9" t="s">
        <v>295</v>
      </c>
      <c r="O121" s="9" t="n">
        <v>27</v>
      </c>
      <c r="P121" s="0" t="n">
        <v>2017</v>
      </c>
      <c r="Q121" s="9" t="s">
        <v>295</v>
      </c>
    </row>
    <row r="122" customFormat="false" ht="14.25" hidden="false" customHeight="false" outlineLevel="0" collapsed="false">
      <c r="A122" s="5" t="n">
        <v>2018</v>
      </c>
      <c r="B122" s="6" t="s">
        <v>296</v>
      </c>
      <c r="C122" s="6" t="s">
        <v>114</v>
      </c>
      <c r="D122" s="6" t="n">
        <v>60</v>
      </c>
      <c r="E122" s="6" t="n">
        <v>40</v>
      </c>
      <c r="F122" s="6" t="n">
        <v>17.421</v>
      </c>
      <c r="G122" s="6" t="n">
        <v>17.4</v>
      </c>
      <c r="H122" s="6" t="n">
        <v>8.7</v>
      </c>
      <c r="I122" s="6" t="n">
        <v>19</v>
      </c>
      <c r="J122" s="6" t="n">
        <v>19.5</v>
      </c>
      <c r="K122" s="6" t="n">
        <v>43.8</v>
      </c>
      <c r="L122" s="7" t="n">
        <v>2026</v>
      </c>
      <c r="M122" s="0" t="n">
        <f aca="false">D122/E122</f>
        <v>1.5</v>
      </c>
      <c r="N122" s="6" t="s">
        <v>297</v>
      </c>
      <c r="O122" s="6" t="n">
        <v>22</v>
      </c>
      <c r="P122" s="0" t="n">
        <v>2018</v>
      </c>
      <c r="Q122" s="6" t="s">
        <v>297</v>
      </c>
    </row>
    <row r="123" customFormat="false" ht="14.25" hidden="false" customHeight="false" outlineLevel="0" collapsed="false">
      <c r="A123" s="8" t="n">
        <v>2019</v>
      </c>
      <c r="B123" s="9" t="s">
        <v>298</v>
      </c>
      <c r="C123" s="9" t="s">
        <v>114</v>
      </c>
      <c r="D123" s="9" t="n">
        <v>48</v>
      </c>
      <c r="E123" s="9" t="n">
        <v>52</v>
      </c>
      <c r="F123" s="9" t="n">
        <v>17.4125</v>
      </c>
      <c r="G123" s="9" t="n">
        <v>17.4</v>
      </c>
      <c r="H123" s="9" t="n">
        <v>8.2</v>
      </c>
      <c r="I123" s="9" t="n">
        <v>20.5</v>
      </c>
      <c r="J123" s="9" t="n">
        <v>17.1</v>
      </c>
      <c r="K123" s="9" t="n">
        <v>40.9</v>
      </c>
      <c r="L123" s="10" t="n">
        <v>2026</v>
      </c>
      <c r="M123" s="0" t="n">
        <f aca="false">D123/E123</f>
        <v>0.923076923076923</v>
      </c>
      <c r="N123" s="9" t="s">
        <v>299</v>
      </c>
      <c r="O123" s="9" t="n">
        <v>22.6</v>
      </c>
      <c r="P123" s="0" t="n">
        <v>2019</v>
      </c>
      <c r="Q123" s="9" t="s">
        <v>299</v>
      </c>
    </row>
    <row r="124" customFormat="false" ht="14.25" hidden="false" customHeight="false" outlineLevel="0" collapsed="false">
      <c r="A124" s="5" t="n">
        <v>2020</v>
      </c>
      <c r="B124" s="6" t="s">
        <v>300</v>
      </c>
      <c r="C124" s="6" t="s">
        <v>42</v>
      </c>
      <c r="D124" s="6" t="n">
        <v>40</v>
      </c>
      <c r="E124" s="6" t="n">
        <v>60</v>
      </c>
      <c r="F124" s="6" t="n">
        <v>17.3965</v>
      </c>
      <c r="G124" s="6" t="n">
        <v>22.7</v>
      </c>
      <c r="H124" s="6" t="n">
        <v>10.7</v>
      </c>
      <c r="I124" s="6" t="n">
        <v>15.7</v>
      </c>
      <c r="J124" s="6" t="n">
        <v>17.8</v>
      </c>
      <c r="K124" s="6" t="n">
        <v>29</v>
      </c>
      <c r="L124" s="7" t="n">
        <v>2026</v>
      </c>
      <c r="M124" s="0" t="n">
        <f aca="false">D124/E124</f>
        <v>0.666666666666667</v>
      </c>
      <c r="N124" s="6" t="s">
        <v>301</v>
      </c>
      <c r="O124" s="6" t="n">
        <v>24.8</v>
      </c>
      <c r="P124" s="0" t="n">
        <v>2020</v>
      </c>
      <c r="Q124" s="6" t="s">
        <v>301</v>
      </c>
    </row>
    <row r="125" customFormat="false" ht="14.25" hidden="false" customHeight="false" outlineLevel="0" collapsed="false">
      <c r="A125" s="8" t="n">
        <v>2021</v>
      </c>
      <c r="B125" s="9" t="s">
        <v>302</v>
      </c>
      <c r="C125" s="9" t="s">
        <v>104</v>
      </c>
      <c r="D125" s="9" t="n">
        <v>44</v>
      </c>
      <c r="E125" s="9" t="n">
        <v>56</v>
      </c>
      <c r="F125" s="9" t="n">
        <v>17.382</v>
      </c>
      <c r="G125" s="9" t="n">
        <v>21.9</v>
      </c>
      <c r="H125" s="9" t="n">
        <v>10.7</v>
      </c>
      <c r="I125" s="9" t="n">
        <v>16.2</v>
      </c>
      <c r="J125" s="9" t="n">
        <v>25.4</v>
      </c>
      <c r="K125" s="9" t="n">
        <v>25.9</v>
      </c>
      <c r="L125" s="10" t="n">
        <v>2026</v>
      </c>
      <c r="M125" s="0" t="n">
        <f aca="false">D125/E125</f>
        <v>0.785714285714286</v>
      </c>
      <c r="N125" s="9" t="s">
        <v>303</v>
      </c>
      <c r="O125" s="9" t="n">
        <v>12.7</v>
      </c>
      <c r="P125" s="0" t="n">
        <v>2021</v>
      </c>
      <c r="Q125" s="9" t="s">
        <v>303</v>
      </c>
    </row>
    <row r="126" customFormat="false" ht="14.25" hidden="false" customHeight="false" outlineLevel="0" collapsed="false">
      <c r="A126" s="5" t="n">
        <v>2022</v>
      </c>
      <c r="B126" s="6" t="s">
        <v>304</v>
      </c>
      <c r="C126" s="6" t="s">
        <v>95</v>
      </c>
      <c r="D126" s="6" t="n">
        <v>45</v>
      </c>
      <c r="E126" s="6" t="n">
        <v>55</v>
      </c>
      <c r="F126" s="6" t="n">
        <v>17.3795</v>
      </c>
      <c r="G126" s="6" t="n">
        <v>28.1</v>
      </c>
      <c r="H126" s="6" t="n">
        <v>8.7</v>
      </c>
      <c r="I126" s="6" t="n">
        <v>11.3</v>
      </c>
      <c r="J126" s="6" t="n">
        <v>19.8</v>
      </c>
      <c r="K126" s="6" t="n">
        <v>31.8</v>
      </c>
      <c r="L126" s="7" t="n">
        <v>2026</v>
      </c>
      <c r="M126" s="0" t="n">
        <f aca="false">D126/E126</f>
        <v>0.818181818181818</v>
      </c>
      <c r="N126" s="6" t="s">
        <v>305</v>
      </c>
      <c r="O126" s="6" t="n">
        <v>7.7</v>
      </c>
      <c r="P126" s="0" t="n">
        <v>2022</v>
      </c>
      <c r="Q126" s="6" t="s">
        <v>305</v>
      </c>
    </row>
    <row r="127" customFormat="false" ht="14.25" hidden="false" customHeight="false" outlineLevel="0" collapsed="false">
      <c r="A127" s="8" t="n">
        <v>2023</v>
      </c>
      <c r="B127" s="9" t="s">
        <v>306</v>
      </c>
      <c r="C127" s="9" t="s">
        <v>114</v>
      </c>
      <c r="D127" s="9" t="n">
        <v>66</v>
      </c>
      <c r="E127" s="9" t="n">
        <v>34</v>
      </c>
      <c r="F127" s="9" t="n">
        <v>17.3265</v>
      </c>
      <c r="G127" s="9" t="n">
        <v>26.2</v>
      </c>
      <c r="H127" s="9" t="n">
        <v>8.8</v>
      </c>
      <c r="I127" s="9" t="n">
        <v>11.5</v>
      </c>
      <c r="J127" s="9" t="n">
        <v>19.2</v>
      </c>
      <c r="K127" s="9" t="n">
        <v>37.7</v>
      </c>
      <c r="L127" s="10" t="n">
        <v>2026</v>
      </c>
      <c r="M127" s="0" t="n">
        <f aca="false">D127/E127</f>
        <v>1.94117647058824</v>
      </c>
      <c r="N127" s="9" t="s">
        <v>307</v>
      </c>
      <c r="O127" s="9" t="n">
        <v>18.8</v>
      </c>
      <c r="P127" s="0" t="n">
        <v>2023</v>
      </c>
      <c r="Q127" s="9" t="s">
        <v>307</v>
      </c>
    </row>
    <row r="128" customFormat="false" ht="14.25" hidden="false" customHeight="false" outlineLevel="0" collapsed="false">
      <c r="A128" s="5" t="n">
        <v>2024</v>
      </c>
      <c r="B128" s="6" t="s">
        <v>308</v>
      </c>
      <c r="C128" s="6" t="s">
        <v>104</v>
      </c>
      <c r="D128" s="6" t="n">
        <v>53</v>
      </c>
      <c r="E128" s="6" t="n">
        <v>47</v>
      </c>
      <c r="F128" s="6" t="n">
        <v>17.3135</v>
      </c>
      <c r="G128" s="6" t="n">
        <v>23.3</v>
      </c>
      <c r="H128" s="6" t="n">
        <v>9.8</v>
      </c>
      <c r="I128" s="6" t="n">
        <v>13.5</v>
      </c>
      <c r="J128" s="6" t="n">
        <v>21.2</v>
      </c>
      <c r="K128" s="6" t="n">
        <v>36</v>
      </c>
      <c r="L128" s="7" t="n">
        <v>2026</v>
      </c>
      <c r="M128" s="0" t="n">
        <f aca="false">D128/E128</f>
        <v>1.12765957446809</v>
      </c>
      <c r="N128" s="6" t="s">
        <v>309</v>
      </c>
      <c r="O128" s="6" t="n">
        <v>24</v>
      </c>
      <c r="P128" s="0" t="n">
        <v>2024</v>
      </c>
      <c r="Q128" s="6" t="s">
        <v>309</v>
      </c>
    </row>
    <row r="129" customFormat="false" ht="14.25" hidden="false" customHeight="false" outlineLevel="0" collapsed="false">
      <c r="A129" s="8" t="n">
        <v>2025</v>
      </c>
      <c r="B129" s="9" t="s">
        <v>310</v>
      </c>
      <c r="C129" s="9" t="s">
        <v>45</v>
      </c>
      <c r="D129" s="9" t="n">
        <v>67</v>
      </c>
      <c r="E129" s="9" t="n">
        <v>33</v>
      </c>
      <c r="F129" s="9" t="n">
        <v>17.3045</v>
      </c>
      <c r="G129" s="9" t="n">
        <v>16.2</v>
      </c>
      <c r="H129" s="9" t="n">
        <v>10.1</v>
      </c>
      <c r="I129" s="9" t="n">
        <v>24</v>
      </c>
      <c r="J129" s="9" t="n">
        <v>16.6</v>
      </c>
      <c r="K129" s="9" t="n">
        <v>23.1</v>
      </c>
      <c r="L129" s="10" t="n">
        <v>2026</v>
      </c>
      <c r="M129" s="0" t="n">
        <f aca="false">D129/E129</f>
        <v>2.03030303030303</v>
      </c>
      <c r="N129" s="9" t="s">
        <v>311</v>
      </c>
      <c r="O129" s="9" t="n">
        <v>17.3</v>
      </c>
      <c r="P129" s="0" t="n">
        <v>2025</v>
      </c>
      <c r="Q129" s="9" t="s">
        <v>311</v>
      </c>
    </row>
    <row r="130" customFormat="false" ht="14.25" hidden="false" customHeight="false" outlineLevel="0" collapsed="false">
      <c r="A130" s="5" t="n">
        <v>2026</v>
      </c>
      <c r="B130" s="6" t="s">
        <v>312</v>
      </c>
      <c r="C130" s="6" t="s">
        <v>42</v>
      </c>
      <c r="D130" s="6" t="n">
        <v>56</v>
      </c>
      <c r="E130" s="6" t="n">
        <v>44</v>
      </c>
      <c r="F130" s="6" t="n">
        <v>17.1885</v>
      </c>
      <c r="G130" s="6" t="n">
        <v>14.8</v>
      </c>
      <c r="H130" s="6" t="n">
        <v>9.3</v>
      </c>
      <c r="I130" s="6" t="n">
        <v>24.1</v>
      </c>
      <c r="J130" s="6" t="n">
        <v>18.2</v>
      </c>
      <c r="K130" s="6" t="n">
        <v>28.9</v>
      </c>
      <c r="L130" s="7" t="n">
        <v>2026</v>
      </c>
      <c r="M130" s="0" t="n">
        <f aca="false">D130/E130</f>
        <v>1.27272727272727</v>
      </c>
      <c r="N130" s="6" t="s">
        <v>313</v>
      </c>
      <c r="O130" s="6" t="n">
        <v>16.4</v>
      </c>
      <c r="P130" s="0" t="n">
        <v>2026</v>
      </c>
      <c r="Q130" s="6" t="s">
        <v>313</v>
      </c>
    </row>
    <row r="131" customFormat="false" ht="14.25" hidden="false" customHeight="false" outlineLevel="0" collapsed="false">
      <c r="A131" s="8" t="n">
        <v>2027</v>
      </c>
      <c r="B131" s="9" t="s">
        <v>314</v>
      </c>
      <c r="C131" s="9" t="s">
        <v>39</v>
      </c>
      <c r="D131" s="9" t="n">
        <v>28</v>
      </c>
      <c r="E131" s="9" t="n">
        <v>72</v>
      </c>
      <c r="F131" s="9" t="n">
        <v>17.1875</v>
      </c>
      <c r="G131" s="9" t="n">
        <v>17.2</v>
      </c>
      <c r="H131" s="9" t="n">
        <v>11.5</v>
      </c>
      <c r="I131" s="9" t="n">
        <v>15</v>
      </c>
      <c r="J131" s="9" t="n">
        <v>38.9</v>
      </c>
      <c r="K131" s="9" t="n">
        <v>36.3</v>
      </c>
      <c r="L131" s="10" t="n">
        <v>2026</v>
      </c>
      <c r="M131" s="0" t="n">
        <f aca="false">D131/E131</f>
        <v>0.388888888888889</v>
      </c>
      <c r="N131" s="9" t="s">
        <v>315</v>
      </c>
      <c r="O131" s="9" t="n">
        <v>17.5</v>
      </c>
      <c r="P131" s="0" t="n">
        <v>2027</v>
      </c>
      <c r="Q131" s="9" t="s">
        <v>315</v>
      </c>
    </row>
    <row r="132" customFormat="false" ht="14.25" hidden="false" customHeight="false" outlineLevel="0" collapsed="false">
      <c r="A132" s="5" t="n">
        <v>2028</v>
      </c>
      <c r="B132" s="6" t="s">
        <v>316</v>
      </c>
      <c r="C132" s="6" t="s">
        <v>242</v>
      </c>
      <c r="D132" s="6" t="n">
        <v>58</v>
      </c>
      <c r="E132" s="6" t="n">
        <v>42</v>
      </c>
      <c r="F132" s="6" t="n">
        <v>17.182</v>
      </c>
      <c r="G132" s="6" t="n">
        <v>13.9</v>
      </c>
      <c r="H132" s="6" t="n">
        <v>10.9</v>
      </c>
      <c r="I132" s="6" t="n">
        <v>16.8</v>
      </c>
      <c r="J132" s="6" t="n">
        <v>35.2</v>
      </c>
      <c r="K132" s="6" t="n">
        <v>46.3</v>
      </c>
      <c r="L132" s="7" t="n">
        <v>2026</v>
      </c>
      <c r="M132" s="0" t="n">
        <f aca="false">D132/E132</f>
        <v>1.38095238095238</v>
      </c>
      <c r="N132" s="6" t="s">
        <v>317</v>
      </c>
      <c r="O132" s="6" t="n">
        <v>19.9</v>
      </c>
      <c r="P132" s="0" t="n">
        <v>2028</v>
      </c>
      <c r="Q132" s="6" t="s">
        <v>317</v>
      </c>
    </row>
    <row r="133" customFormat="false" ht="14.25" hidden="false" customHeight="false" outlineLevel="0" collapsed="false">
      <c r="A133" s="8" t="n">
        <v>2029</v>
      </c>
      <c r="B133" s="9" t="s">
        <v>318</v>
      </c>
      <c r="C133" s="9" t="s">
        <v>45</v>
      </c>
      <c r="D133" s="9" t="n">
        <v>22</v>
      </c>
      <c r="E133" s="9" t="n">
        <v>78</v>
      </c>
      <c r="F133" s="9" t="n">
        <v>17.1035</v>
      </c>
      <c r="G133" s="9" t="n">
        <v>21.6</v>
      </c>
      <c r="H133" s="9" t="n">
        <v>10.6</v>
      </c>
      <c r="I133" s="9" t="n">
        <v>16.7</v>
      </c>
      <c r="J133" s="9" t="n">
        <v>24</v>
      </c>
      <c r="K133" s="9" t="n">
        <v>22.5</v>
      </c>
      <c r="L133" s="10" t="n">
        <v>2026</v>
      </c>
      <c r="M133" s="0" t="n">
        <f aca="false">D133/E133</f>
        <v>0.282051282051282</v>
      </c>
      <c r="N133" s="9" t="s">
        <v>319</v>
      </c>
      <c r="O133" s="9" t="n">
        <v>11.1</v>
      </c>
      <c r="P133" s="0" t="n">
        <v>2029</v>
      </c>
      <c r="Q133" s="9" t="s">
        <v>319</v>
      </c>
    </row>
    <row r="134" customFormat="false" ht="14.25" hidden="false" customHeight="false" outlineLevel="0" collapsed="false">
      <c r="A134" s="5" t="n">
        <v>2030</v>
      </c>
      <c r="B134" s="6" t="s">
        <v>320</v>
      </c>
      <c r="C134" s="6" t="s">
        <v>42</v>
      </c>
      <c r="D134" s="6" t="n">
        <v>49</v>
      </c>
      <c r="E134" s="6" t="n">
        <v>51</v>
      </c>
      <c r="F134" s="6" t="n">
        <v>17.094</v>
      </c>
      <c r="G134" s="6" t="n">
        <v>15.6</v>
      </c>
      <c r="H134" s="6" t="n">
        <v>11.4</v>
      </c>
      <c r="I134" s="6" t="n">
        <v>21.1</v>
      </c>
      <c r="J134" s="6" t="n">
        <v>21.9</v>
      </c>
      <c r="K134" s="6" t="n">
        <v>26.4</v>
      </c>
      <c r="L134" s="7" t="n">
        <v>2026</v>
      </c>
      <c r="M134" s="0" t="n">
        <f aca="false">D134/E134</f>
        <v>0.96078431372549</v>
      </c>
      <c r="N134" s="6" t="s">
        <v>321</v>
      </c>
      <c r="O134" s="6" t="n">
        <v>31</v>
      </c>
      <c r="P134" s="0" t="n">
        <v>2030</v>
      </c>
      <c r="Q134" s="6" t="s">
        <v>321</v>
      </c>
    </row>
    <row r="135" customFormat="false" ht="14.25" hidden="false" customHeight="false" outlineLevel="0" collapsed="false">
      <c r="A135" s="8" t="n">
        <v>2031</v>
      </c>
      <c r="B135" s="9" t="s">
        <v>322</v>
      </c>
      <c r="C135" s="9" t="s">
        <v>95</v>
      </c>
      <c r="D135" s="9" t="n">
        <v>53</v>
      </c>
      <c r="E135" s="9" t="n">
        <v>47</v>
      </c>
      <c r="F135" s="9" t="n">
        <v>17.0845</v>
      </c>
      <c r="G135" s="9" t="n">
        <v>24.3</v>
      </c>
      <c r="H135" s="9" t="n">
        <v>11.6</v>
      </c>
      <c r="I135" s="9" t="n">
        <v>12.9</v>
      </c>
      <c r="J135" s="9" t="n">
        <v>16.8</v>
      </c>
      <c r="K135" s="9" t="n">
        <v>26.8</v>
      </c>
      <c r="L135" s="10" t="n">
        <v>2026</v>
      </c>
      <c r="M135" s="0" t="n">
        <f aca="false">D135/E135</f>
        <v>1.12765957446809</v>
      </c>
      <c r="N135" s="9" t="s">
        <v>323</v>
      </c>
      <c r="O135" s="9" t="n">
        <v>13.4</v>
      </c>
      <c r="P135" s="0" t="n">
        <v>2031</v>
      </c>
      <c r="Q135" s="9" t="s">
        <v>323</v>
      </c>
    </row>
    <row r="136" customFormat="false" ht="14.25" hidden="false" customHeight="false" outlineLevel="0" collapsed="false">
      <c r="A136" s="5" t="n">
        <v>2032</v>
      </c>
      <c r="B136" s="6" t="s">
        <v>324</v>
      </c>
      <c r="C136" s="6" t="s">
        <v>92</v>
      </c>
      <c r="D136" s="6" t="n">
        <v>66</v>
      </c>
      <c r="E136" s="6" t="n">
        <v>34</v>
      </c>
      <c r="F136" s="6" t="n">
        <v>17.058</v>
      </c>
      <c r="G136" s="6" t="n">
        <v>21.4</v>
      </c>
      <c r="H136" s="6" t="n">
        <v>9.2</v>
      </c>
      <c r="I136" s="6" t="n">
        <v>14.4</v>
      </c>
      <c r="J136" s="6" t="n">
        <v>16.3</v>
      </c>
      <c r="K136" s="6" t="n">
        <v>41.4</v>
      </c>
      <c r="L136" s="7" t="n">
        <v>2026</v>
      </c>
      <c r="M136" s="0" t="n">
        <f aca="false">D136/E136</f>
        <v>1.94117647058824</v>
      </c>
      <c r="N136" s="6" t="s">
        <v>325</v>
      </c>
      <c r="O136" s="6" t="n">
        <v>10</v>
      </c>
      <c r="P136" s="0" t="n">
        <v>2032</v>
      </c>
      <c r="Q136" s="6" t="s">
        <v>325</v>
      </c>
    </row>
    <row r="137" customFormat="false" ht="14.25" hidden="false" customHeight="false" outlineLevel="0" collapsed="false">
      <c r="A137" s="8" t="n">
        <v>2033</v>
      </c>
      <c r="B137" s="9" t="s">
        <v>326</v>
      </c>
      <c r="C137" s="9" t="s">
        <v>42</v>
      </c>
      <c r="D137" s="9" t="n">
        <v>50</v>
      </c>
      <c r="E137" s="9" t="n">
        <v>50</v>
      </c>
      <c r="F137" s="9" t="n">
        <v>17.0455</v>
      </c>
      <c r="G137" s="9" t="n">
        <v>14.7</v>
      </c>
      <c r="H137" s="9" t="n">
        <v>10</v>
      </c>
      <c r="I137" s="9" t="n">
        <v>24.1</v>
      </c>
      <c r="J137" s="9" t="n">
        <v>20.6</v>
      </c>
      <c r="K137" s="9" t="n">
        <v>23.4</v>
      </c>
      <c r="L137" s="10" t="n">
        <v>2026</v>
      </c>
      <c r="M137" s="0" t="n">
        <f aca="false">D137/E137</f>
        <v>1</v>
      </c>
      <c r="N137" s="9" t="s">
        <v>327</v>
      </c>
      <c r="O137" s="9" t="n">
        <v>23</v>
      </c>
      <c r="P137" s="0" t="n">
        <v>2033</v>
      </c>
      <c r="Q137" s="9" t="s">
        <v>327</v>
      </c>
    </row>
    <row r="138" customFormat="false" ht="14.25" hidden="false" customHeight="false" outlineLevel="0" collapsed="false">
      <c r="A138" s="5" t="n">
        <v>2034</v>
      </c>
      <c r="B138" s="6" t="s">
        <v>328</v>
      </c>
      <c r="C138" s="6" t="s">
        <v>42</v>
      </c>
      <c r="D138" s="6" t="n">
        <v>47</v>
      </c>
      <c r="E138" s="6" t="n">
        <v>53</v>
      </c>
      <c r="F138" s="6" t="n">
        <v>17.0245</v>
      </c>
      <c r="G138" s="6" t="n">
        <v>13.6</v>
      </c>
      <c r="H138" s="6" t="n">
        <v>8.7</v>
      </c>
      <c r="I138" s="6" t="n">
        <v>23.3</v>
      </c>
      <c r="J138" s="6" t="n">
        <v>22.8</v>
      </c>
      <c r="K138" s="6" t="n">
        <v>34.5</v>
      </c>
      <c r="L138" s="7" t="n">
        <v>2026</v>
      </c>
      <c r="M138" s="0" t="n">
        <f aca="false">D138/E138</f>
        <v>0.886792452830189</v>
      </c>
      <c r="N138" s="6" t="s">
        <v>329</v>
      </c>
      <c r="O138" s="6" t="n">
        <v>21</v>
      </c>
      <c r="P138" s="0" t="n">
        <v>2034</v>
      </c>
      <c r="Q138" s="6" t="s">
        <v>329</v>
      </c>
    </row>
    <row r="139" customFormat="false" ht="14.25" hidden="false" customHeight="false" outlineLevel="0" collapsed="false">
      <c r="A139" s="8" t="n">
        <v>2035</v>
      </c>
      <c r="B139" s="9" t="s">
        <v>330</v>
      </c>
      <c r="C139" s="9" t="s">
        <v>168</v>
      </c>
      <c r="D139" s="9" t="n">
        <v>60</v>
      </c>
      <c r="E139" s="9" t="n">
        <v>40</v>
      </c>
      <c r="F139" s="9" t="n">
        <v>17.0065</v>
      </c>
      <c r="G139" s="9" t="n">
        <v>20.1</v>
      </c>
      <c r="H139" s="9" t="n">
        <v>11.3</v>
      </c>
      <c r="I139" s="9" t="n">
        <v>16.4</v>
      </c>
      <c r="J139" s="9" t="n">
        <v>19.5</v>
      </c>
      <c r="K139" s="9" t="n">
        <v>28</v>
      </c>
      <c r="L139" s="10" t="n">
        <v>2026</v>
      </c>
      <c r="M139" s="0" t="n">
        <f aca="false">D139/E139</f>
        <v>1.5</v>
      </c>
      <c r="N139" s="9" t="s">
        <v>331</v>
      </c>
      <c r="O139" s="9" t="n">
        <v>11.6</v>
      </c>
      <c r="P139" s="0" t="n">
        <v>2035</v>
      </c>
      <c r="Q139" s="9" t="s">
        <v>331</v>
      </c>
    </row>
    <row r="140" customFormat="false" ht="14.25" hidden="false" customHeight="false" outlineLevel="0" collapsed="false">
      <c r="A140" s="5" t="n">
        <v>2036</v>
      </c>
      <c r="B140" s="6" t="s">
        <v>332</v>
      </c>
      <c r="C140" s="6" t="s">
        <v>333</v>
      </c>
      <c r="D140" s="6" t="n">
        <v>62</v>
      </c>
      <c r="E140" s="6" t="n">
        <v>38</v>
      </c>
      <c r="F140" s="6" t="n">
        <v>17.001</v>
      </c>
      <c r="G140" s="6" t="n">
        <v>15.6</v>
      </c>
      <c r="H140" s="6" t="n">
        <v>9.4</v>
      </c>
      <c r="I140" s="6" t="n">
        <v>15.5</v>
      </c>
      <c r="J140" s="6" t="n">
        <v>21.7</v>
      </c>
      <c r="K140" s="6" t="n">
        <v>55.4</v>
      </c>
      <c r="L140" s="7" t="n">
        <v>2026</v>
      </c>
      <c r="M140" s="0" t="n">
        <f aca="false">D140/E140</f>
        <v>1.63157894736842</v>
      </c>
      <c r="N140" s="6" t="s">
        <v>251</v>
      </c>
      <c r="O140" s="6" t="n">
        <v>18.4</v>
      </c>
      <c r="P140" s="0" t="n">
        <v>2036</v>
      </c>
      <c r="Q140" s="6" t="s">
        <v>251</v>
      </c>
    </row>
    <row r="141" customFormat="false" ht="14.25" hidden="false" customHeight="false" outlineLevel="0" collapsed="false">
      <c r="A141" s="8" t="n">
        <v>2037</v>
      </c>
      <c r="B141" s="9" t="s">
        <v>334</v>
      </c>
      <c r="C141" s="9" t="s">
        <v>335</v>
      </c>
      <c r="D141" s="9" t="n">
        <v>45</v>
      </c>
      <c r="E141" s="9" t="n">
        <v>55</v>
      </c>
      <c r="F141" s="9" t="n">
        <v>16.967</v>
      </c>
      <c r="G141" s="9" t="n">
        <v>18.2</v>
      </c>
      <c r="H141" s="9" t="n">
        <v>9.1</v>
      </c>
      <c r="I141" s="9" t="n">
        <v>18.5</v>
      </c>
      <c r="J141" s="9" t="n">
        <v>18.1</v>
      </c>
      <c r="K141" s="9" t="n">
        <v>35.8</v>
      </c>
      <c r="L141" s="10" t="n">
        <v>2026</v>
      </c>
      <c r="M141" s="0" t="n">
        <f aca="false">D141/E141</f>
        <v>0.818181818181818</v>
      </c>
      <c r="N141" s="9" t="s">
        <v>336</v>
      </c>
      <c r="O141" s="9" t="n">
        <v>12.6</v>
      </c>
      <c r="P141" s="0" t="n">
        <v>2037</v>
      </c>
      <c r="Q141" s="9" t="s">
        <v>336</v>
      </c>
    </row>
    <row r="142" customFormat="false" ht="14.25" hidden="false" customHeight="false" outlineLevel="0" collapsed="false">
      <c r="A142" s="5" t="n">
        <v>2038</v>
      </c>
      <c r="B142" s="6" t="s">
        <v>337</v>
      </c>
      <c r="C142" s="6" t="s">
        <v>95</v>
      </c>
      <c r="D142" s="6" t="n">
        <v>65</v>
      </c>
      <c r="E142" s="6" t="n">
        <v>35</v>
      </c>
      <c r="F142" s="6" t="n">
        <v>16.961</v>
      </c>
      <c r="G142" s="6" t="n">
        <v>25.8</v>
      </c>
      <c r="H142" s="6" t="n">
        <v>12.3</v>
      </c>
      <c r="I142" s="6" t="n">
        <v>5.9</v>
      </c>
      <c r="J142" s="6" t="n">
        <v>19.7</v>
      </c>
      <c r="K142" s="6" t="n">
        <v>43</v>
      </c>
      <c r="L142" s="7" t="n">
        <v>2026</v>
      </c>
      <c r="M142" s="0" t="n">
        <f aca="false">D142/E142</f>
        <v>1.85714285714286</v>
      </c>
      <c r="N142" s="6" t="s">
        <v>338</v>
      </c>
      <c r="O142" s="6" t="n">
        <v>8.3</v>
      </c>
      <c r="P142" s="0" t="n">
        <v>2038</v>
      </c>
      <c r="Q142" s="6" t="s">
        <v>338</v>
      </c>
    </row>
    <row r="143" customFormat="false" ht="14.25" hidden="false" customHeight="false" outlineLevel="0" collapsed="false">
      <c r="A143" s="8" t="n">
        <v>2039</v>
      </c>
      <c r="B143" s="9" t="s">
        <v>339</v>
      </c>
      <c r="C143" s="9" t="s">
        <v>95</v>
      </c>
      <c r="D143" s="9" t="n">
        <v>51</v>
      </c>
      <c r="E143" s="9" t="n">
        <v>49</v>
      </c>
      <c r="F143" s="9" t="n">
        <v>16.893</v>
      </c>
      <c r="G143" s="9" t="n">
        <v>18.2</v>
      </c>
      <c r="H143" s="9" t="n">
        <v>12.2</v>
      </c>
      <c r="I143" s="9" t="n">
        <v>14.7</v>
      </c>
      <c r="J143" s="9" t="n">
        <v>35.4</v>
      </c>
      <c r="K143" s="9" t="n">
        <v>28.8</v>
      </c>
      <c r="L143" s="10" t="n">
        <v>2026</v>
      </c>
      <c r="M143" s="0" t="n">
        <f aca="false">D143/E143</f>
        <v>1.04081632653061</v>
      </c>
      <c r="N143" s="9" t="s">
        <v>340</v>
      </c>
      <c r="O143" s="9" t="n">
        <v>13.3</v>
      </c>
      <c r="P143" s="0" t="n">
        <v>2039</v>
      </c>
      <c r="Q143" s="9" t="s">
        <v>340</v>
      </c>
    </row>
    <row r="144" customFormat="false" ht="14.25" hidden="false" customHeight="false" outlineLevel="0" collapsed="false">
      <c r="A144" s="5" t="n">
        <v>2040</v>
      </c>
      <c r="B144" s="6" t="s">
        <v>341</v>
      </c>
      <c r="C144" s="6" t="s">
        <v>48</v>
      </c>
      <c r="D144" s="6" t="n">
        <v>62</v>
      </c>
      <c r="E144" s="6" t="n">
        <v>38</v>
      </c>
      <c r="F144" s="6" t="n">
        <v>16.879</v>
      </c>
      <c r="G144" s="6" t="n">
        <v>16.7</v>
      </c>
      <c r="H144" s="6" t="n">
        <v>8.8</v>
      </c>
      <c r="I144" s="6" t="n">
        <v>22.4</v>
      </c>
      <c r="J144" s="6" t="n">
        <v>22.2</v>
      </c>
      <c r="K144" s="6" t="n">
        <v>23.9</v>
      </c>
      <c r="L144" s="7" t="n">
        <v>2026</v>
      </c>
      <c r="M144" s="0" t="n">
        <f aca="false">D144/E144</f>
        <v>1.63157894736842</v>
      </c>
      <c r="N144" s="6" t="s">
        <v>342</v>
      </c>
      <c r="O144" s="6" t="n">
        <v>115.1</v>
      </c>
      <c r="P144" s="0" t="n">
        <v>2040</v>
      </c>
      <c r="Q144" s="6" t="s">
        <v>342</v>
      </c>
    </row>
    <row r="145" customFormat="false" ht="14.25" hidden="false" customHeight="false" outlineLevel="0" collapsed="false">
      <c r="A145" s="8" t="n">
        <v>2041</v>
      </c>
      <c r="B145" s="9" t="s">
        <v>343</v>
      </c>
      <c r="C145" s="9" t="s">
        <v>95</v>
      </c>
      <c r="D145" s="9" t="n">
        <v>39</v>
      </c>
      <c r="E145" s="9" t="n">
        <v>61</v>
      </c>
      <c r="F145" s="9" t="n">
        <v>16.799</v>
      </c>
      <c r="G145" s="9" t="n">
        <v>22</v>
      </c>
      <c r="H145" s="9" t="n">
        <v>9.9</v>
      </c>
      <c r="I145" s="9" t="n">
        <v>10.2</v>
      </c>
      <c r="J145" s="9" t="n">
        <v>44.2</v>
      </c>
      <c r="K145" s="9" t="n">
        <v>34.8</v>
      </c>
      <c r="L145" s="10" t="n">
        <v>2026</v>
      </c>
      <c r="M145" s="0" t="n">
        <f aca="false">D145/E145</f>
        <v>0.639344262295082</v>
      </c>
      <c r="N145" s="9" t="s">
        <v>344</v>
      </c>
      <c r="O145" s="9" t="n">
        <v>12.3</v>
      </c>
      <c r="P145" s="0" t="n">
        <v>2041</v>
      </c>
      <c r="Q145" s="9" t="s">
        <v>344</v>
      </c>
    </row>
    <row r="146" customFormat="false" ht="14.25" hidden="false" customHeight="false" outlineLevel="0" collapsed="false">
      <c r="A146" s="5" t="n">
        <v>2042</v>
      </c>
      <c r="B146" s="6" t="s">
        <v>345</v>
      </c>
      <c r="C146" s="6" t="s">
        <v>39</v>
      </c>
      <c r="D146" s="6" t="n">
        <v>34</v>
      </c>
      <c r="E146" s="6" t="n">
        <v>66</v>
      </c>
      <c r="F146" s="6" t="n">
        <v>16.7865</v>
      </c>
      <c r="G146" s="6" t="n">
        <v>17.9</v>
      </c>
      <c r="H146" s="6" t="n">
        <v>12.8</v>
      </c>
      <c r="I146" s="6" t="n">
        <v>13.6</v>
      </c>
      <c r="J146" s="6" t="n">
        <v>42.6</v>
      </c>
      <c r="K146" s="6" t="n">
        <v>26.8</v>
      </c>
      <c r="L146" s="7" t="n">
        <v>2026</v>
      </c>
      <c r="M146" s="0" t="n">
        <f aca="false">D146/E146</f>
        <v>0.515151515151515</v>
      </c>
      <c r="N146" s="6" t="s">
        <v>346</v>
      </c>
      <c r="O146" s="6" t="n">
        <v>15.5</v>
      </c>
      <c r="P146" s="0" t="n">
        <v>2042</v>
      </c>
      <c r="Q146" s="6" t="s">
        <v>346</v>
      </c>
    </row>
    <row r="147" customFormat="false" ht="14.25" hidden="false" customHeight="false" outlineLevel="0" collapsed="false">
      <c r="A147" s="8" t="n">
        <v>2043</v>
      </c>
      <c r="B147" s="9" t="s">
        <v>347</v>
      </c>
      <c r="C147" s="9" t="s">
        <v>95</v>
      </c>
      <c r="D147" s="9" t="n">
        <v>67</v>
      </c>
      <c r="E147" s="9" t="n">
        <v>33</v>
      </c>
      <c r="F147" s="9" t="n">
        <v>16.7505</v>
      </c>
      <c r="G147" s="9" t="n">
        <v>25.9</v>
      </c>
      <c r="H147" s="9" t="n">
        <v>10.7</v>
      </c>
      <c r="I147" s="9" t="n">
        <v>10.1</v>
      </c>
      <c r="J147" s="9" t="n">
        <v>19.3</v>
      </c>
      <c r="K147" s="9" t="n">
        <v>29.4</v>
      </c>
      <c r="L147" s="10" t="n">
        <v>2026</v>
      </c>
      <c r="M147" s="0" t="n">
        <f aca="false">D147/E147</f>
        <v>2.03030303030303</v>
      </c>
      <c r="N147" s="9" t="s">
        <v>348</v>
      </c>
      <c r="O147" s="9" t="n">
        <v>6.2</v>
      </c>
      <c r="P147" s="0" t="n">
        <v>2043</v>
      </c>
      <c r="Q147" s="9" t="s">
        <v>348</v>
      </c>
    </row>
    <row r="148" customFormat="false" ht="14.25" hidden="false" customHeight="false" outlineLevel="0" collapsed="false">
      <c r="A148" s="5" t="n">
        <v>2044</v>
      </c>
      <c r="B148" s="6" t="s">
        <v>349</v>
      </c>
      <c r="C148" s="6" t="s">
        <v>95</v>
      </c>
      <c r="D148" s="6" t="n">
        <v>53</v>
      </c>
      <c r="E148" s="6" t="n">
        <v>47</v>
      </c>
      <c r="F148" s="6" t="n">
        <v>16.75</v>
      </c>
      <c r="G148" s="6" t="n">
        <v>21</v>
      </c>
      <c r="H148" s="6" t="n">
        <v>12.1</v>
      </c>
      <c r="I148" s="6" t="n">
        <v>15.4</v>
      </c>
      <c r="J148" s="6" t="n">
        <v>16.4</v>
      </c>
      <c r="K148" s="6" t="n">
        <v>23.6</v>
      </c>
      <c r="L148" s="7" t="n">
        <v>2026</v>
      </c>
      <c r="M148" s="0" t="n">
        <f aca="false">D148/E148</f>
        <v>1.12765957446809</v>
      </c>
      <c r="N148" s="6" t="s">
        <v>350</v>
      </c>
      <c r="O148" s="6" t="n">
        <v>11.9</v>
      </c>
      <c r="P148" s="0" t="n">
        <v>2044</v>
      </c>
      <c r="Q148" s="6" t="s">
        <v>350</v>
      </c>
    </row>
    <row r="149" customFormat="false" ht="14.25" hidden="false" customHeight="false" outlineLevel="0" collapsed="false">
      <c r="A149" s="8" t="n">
        <v>2045</v>
      </c>
      <c r="B149" s="9" t="s">
        <v>351</v>
      </c>
      <c r="C149" s="9" t="s">
        <v>42</v>
      </c>
      <c r="D149" s="9" t="n">
        <v>48</v>
      </c>
      <c r="E149" s="9" t="n">
        <v>52</v>
      </c>
      <c r="F149" s="9" t="n">
        <v>16.74</v>
      </c>
      <c r="G149" s="9" t="n">
        <v>17.9</v>
      </c>
      <c r="H149" s="9" t="n">
        <v>10.5</v>
      </c>
      <c r="I149" s="9" t="n">
        <v>18.8</v>
      </c>
      <c r="J149" s="9" t="n">
        <v>28.3</v>
      </c>
      <c r="K149" s="9" t="n">
        <v>21.9</v>
      </c>
      <c r="L149" s="10" t="n">
        <v>2026</v>
      </c>
      <c r="M149" s="0" t="n">
        <f aca="false">D149/E149</f>
        <v>0.923076923076923</v>
      </c>
      <c r="N149" s="9" t="s">
        <v>352</v>
      </c>
      <c r="O149" s="9" t="n">
        <v>29</v>
      </c>
      <c r="P149" s="0" t="n">
        <v>2045</v>
      </c>
      <c r="Q149" s="9" t="s">
        <v>352</v>
      </c>
    </row>
    <row r="150" customFormat="false" ht="14.25" hidden="false" customHeight="false" outlineLevel="0" collapsed="false">
      <c r="A150" s="5" t="n">
        <v>2046</v>
      </c>
      <c r="B150" s="6" t="s">
        <v>353</v>
      </c>
      <c r="C150" s="6" t="s">
        <v>114</v>
      </c>
      <c r="D150" s="6" t="n">
        <v>59</v>
      </c>
      <c r="E150" s="6" t="n">
        <v>41</v>
      </c>
      <c r="F150" s="6" t="n">
        <v>16.7365</v>
      </c>
      <c r="G150" s="6" t="n">
        <v>15.7</v>
      </c>
      <c r="H150" s="6" t="n">
        <v>8.6</v>
      </c>
      <c r="I150" s="6" t="n">
        <v>20.9</v>
      </c>
      <c r="J150" s="6" t="n">
        <v>22.4</v>
      </c>
      <c r="K150" s="6" t="n">
        <v>32.6</v>
      </c>
      <c r="L150" s="7" t="n">
        <v>2026</v>
      </c>
      <c r="M150" s="0" t="n">
        <f aca="false">D150/E150</f>
        <v>1.4390243902439</v>
      </c>
      <c r="N150" s="6" t="s">
        <v>354</v>
      </c>
      <c r="O150" s="6" t="n">
        <v>21.3</v>
      </c>
      <c r="P150" s="0" t="n">
        <v>2046</v>
      </c>
      <c r="Q150" s="6" t="s">
        <v>354</v>
      </c>
    </row>
    <row r="151" customFormat="false" ht="14.25" hidden="false" customHeight="false" outlineLevel="0" collapsed="false">
      <c r="A151" s="8" t="n">
        <v>2047</v>
      </c>
      <c r="B151" s="9" t="s">
        <v>355</v>
      </c>
      <c r="C151" s="9" t="s">
        <v>92</v>
      </c>
      <c r="D151" s="9" t="n">
        <v>49</v>
      </c>
      <c r="E151" s="9" t="n">
        <v>51</v>
      </c>
      <c r="F151" s="9" t="n">
        <v>16.7325</v>
      </c>
      <c r="G151" s="9" t="n">
        <v>23.9</v>
      </c>
      <c r="H151" s="9" t="n">
        <v>8</v>
      </c>
      <c r="I151" s="9" t="n">
        <v>11.1</v>
      </c>
      <c r="J151" s="9" t="n">
        <v>16.8</v>
      </c>
      <c r="K151" s="9" t="n">
        <v>44.8</v>
      </c>
      <c r="L151" s="10" t="n">
        <v>2026</v>
      </c>
      <c r="M151" s="0" t="n">
        <f aca="false">D151/E151</f>
        <v>0.96078431372549</v>
      </c>
      <c r="N151" s="9" t="s">
        <v>356</v>
      </c>
      <c r="O151" s="9" t="n">
        <v>9.2</v>
      </c>
      <c r="P151" s="0" t="n">
        <v>2047</v>
      </c>
      <c r="Q151" s="9" t="s">
        <v>356</v>
      </c>
    </row>
    <row r="152" customFormat="false" ht="14.25" hidden="false" customHeight="false" outlineLevel="0" collapsed="false">
      <c r="A152" s="5" t="n">
        <v>2048</v>
      </c>
      <c r="B152" s="6" t="s">
        <v>357</v>
      </c>
      <c r="C152" s="6" t="s">
        <v>84</v>
      </c>
      <c r="D152" s="6" t="n">
        <v>59</v>
      </c>
      <c r="E152" s="6" t="n">
        <v>41</v>
      </c>
      <c r="F152" s="6" t="n">
        <v>16.7215</v>
      </c>
      <c r="G152" s="6" t="n">
        <v>15</v>
      </c>
      <c r="H152" s="6" t="n">
        <v>12.2</v>
      </c>
      <c r="I152" s="6" t="n">
        <v>15.9</v>
      </c>
      <c r="J152" s="6" t="n">
        <v>18.9</v>
      </c>
      <c r="K152" s="6" t="n">
        <v>43.1</v>
      </c>
      <c r="L152" s="7" t="n">
        <v>2026</v>
      </c>
      <c r="M152" s="0" t="n">
        <f aca="false">D152/E152</f>
        <v>1.4390243902439</v>
      </c>
      <c r="N152" s="6" t="s">
        <v>358</v>
      </c>
      <c r="O152" s="6" t="n">
        <v>32.5</v>
      </c>
      <c r="P152" s="0" t="n">
        <v>2048</v>
      </c>
      <c r="Q152" s="6" t="s">
        <v>358</v>
      </c>
    </row>
    <row r="153" customFormat="false" ht="14.25" hidden="false" customHeight="false" outlineLevel="0" collapsed="false">
      <c r="A153" s="8" t="n">
        <v>2049</v>
      </c>
      <c r="B153" s="9" t="s">
        <v>359</v>
      </c>
      <c r="C153" s="9" t="s">
        <v>161</v>
      </c>
      <c r="D153" s="9" t="n">
        <v>55</v>
      </c>
      <c r="E153" s="9" t="n">
        <v>45</v>
      </c>
      <c r="F153" s="9" t="n">
        <v>16.716</v>
      </c>
      <c r="G153" s="9" t="n">
        <v>22.3</v>
      </c>
      <c r="H153" s="9" t="n">
        <v>8.1</v>
      </c>
      <c r="I153" s="9" t="n">
        <v>16.9</v>
      </c>
      <c r="J153" s="9" t="n">
        <v>16.4</v>
      </c>
      <c r="K153" s="9" t="n">
        <v>27.5</v>
      </c>
      <c r="L153" s="10" t="n">
        <v>2026</v>
      </c>
      <c r="M153" s="0" t="n">
        <f aca="false">D153/E153</f>
        <v>1.22222222222222</v>
      </c>
      <c r="N153" s="9" t="s">
        <v>360</v>
      </c>
      <c r="O153" s="9" t="n">
        <v>12.4</v>
      </c>
      <c r="P153" s="0" t="n">
        <v>2049</v>
      </c>
      <c r="Q153" s="9" t="s">
        <v>360</v>
      </c>
    </row>
    <row r="154" customFormat="false" ht="14.25" hidden="false" customHeight="false" outlineLevel="0" collapsed="false">
      <c r="A154" s="5" t="n">
        <v>2049</v>
      </c>
      <c r="B154" s="6" t="s">
        <v>361</v>
      </c>
      <c r="C154" s="6" t="s">
        <v>39</v>
      </c>
      <c r="D154" s="6" t="n">
        <v>38</v>
      </c>
      <c r="E154" s="6" t="n">
        <v>62</v>
      </c>
      <c r="F154" s="6" t="n">
        <v>16.716</v>
      </c>
      <c r="G154" s="6" t="n">
        <v>18.2</v>
      </c>
      <c r="H154" s="6" t="n">
        <v>10.8</v>
      </c>
      <c r="I154" s="6" t="n">
        <v>14.7</v>
      </c>
      <c r="J154" s="6" t="n">
        <v>37</v>
      </c>
      <c r="K154" s="6" t="n">
        <v>31</v>
      </c>
      <c r="L154" s="7" t="n">
        <v>2026</v>
      </c>
      <c r="M154" s="0" t="n">
        <f aca="false">D154/E154</f>
        <v>0.612903225806452</v>
      </c>
      <c r="N154" s="6" t="s">
        <v>362</v>
      </c>
      <c r="O154" s="6" t="n">
        <v>20.2</v>
      </c>
      <c r="P154" s="0" t="n">
        <v>2049</v>
      </c>
      <c r="Q154" s="6" t="s">
        <v>362</v>
      </c>
    </row>
    <row r="155" customFormat="false" ht="14.25" hidden="false" customHeight="false" outlineLevel="0" collapsed="false">
      <c r="A155" s="8" t="n">
        <v>2051</v>
      </c>
      <c r="B155" s="9" t="s">
        <v>363</v>
      </c>
      <c r="C155" s="9" t="s">
        <v>39</v>
      </c>
      <c r="D155" s="9" t="n">
        <v>32</v>
      </c>
      <c r="E155" s="9" t="n">
        <v>68</v>
      </c>
      <c r="F155" s="9" t="n">
        <v>16.6795</v>
      </c>
      <c r="G155" s="9" t="n">
        <v>15.5</v>
      </c>
      <c r="H155" s="9" t="n">
        <v>8.9</v>
      </c>
      <c r="I155" s="9" t="n">
        <v>19.6</v>
      </c>
      <c r="J155" s="9" t="n">
        <v>45.4</v>
      </c>
      <c r="K155" s="9" t="n">
        <v>24.4</v>
      </c>
      <c r="L155" s="10" t="n">
        <v>2026</v>
      </c>
      <c r="M155" s="0" t="n">
        <f aca="false">D155/E155</f>
        <v>0.470588235294118</v>
      </c>
      <c r="N155" s="9" t="s">
        <v>364</v>
      </c>
      <c r="O155" s="9" t="n">
        <v>30.1</v>
      </c>
      <c r="P155" s="0" t="n">
        <v>2051</v>
      </c>
      <c r="Q155" s="9" t="s">
        <v>364</v>
      </c>
    </row>
    <row r="156" customFormat="false" ht="14.25" hidden="false" customHeight="false" outlineLevel="0" collapsed="false">
      <c r="A156" s="5" t="n">
        <v>2052</v>
      </c>
      <c r="B156" s="6" t="s">
        <v>365</v>
      </c>
      <c r="C156" s="6" t="s">
        <v>45</v>
      </c>
      <c r="D156" s="6" t="n">
        <v>60</v>
      </c>
      <c r="E156" s="6" t="n">
        <v>40</v>
      </c>
      <c r="F156" s="6" t="n">
        <v>16.6435</v>
      </c>
      <c r="G156" s="6" t="n">
        <v>29.9</v>
      </c>
      <c r="H156" s="6" t="n">
        <v>9</v>
      </c>
      <c r="I156" s="6" t="n">
        <v>4.6</v>
      </c>
      <c r="J156" s="6" t="n">
        <v>18.2</v>
      </c>
      <c r="K156" s="6" t="n">
        <v>41.4</v>
      </c>
      <c r="L156" s="7" t="n">
        <v>2026</v>
      </c>
      <c r="M156" s="0" t="n">
        <f aca="false">D156/E156</f>
        <v>1.5</v>
      </c>
      <c r="N156" s="6" t="s">
        <v>366</v>
      </c>
      <c r="O156" s="6" t="n">
        <v>5.2</v>
      </c>
      <c r="P156" s="0" t="n">
        <v>2052</v>
      </c>
      <c r="Q156" s="6" t="s">
        <v>366</v>
      </c>
    </row>
    <row r="157" customFormat="false" ht="14.25" hidden="false" customHeight="false" outlineLevel="0" collapsed="false">
      <c r="A157" s="8" t="n">
        <v>2053</v>
      </c>
      <c r="B157" s="9" t="s">
        <v>367</v>
      </c>
      <c r="C157" s="9" t="s">
        <v>45</v>
      </c>
      <c r="D157" s="9" t="n">
        <v>35</v>
      </c>
      <c r="E157" s="9" t="n">
        <v>65</v>
      </c>
      <c r="F157" s="9" t="n">
        <v>16.612</v>
      </c>
      <c r="G157" s="9" t="n">
        <v>16.7</v>
      </c>
      <c r="H157" s="9" t="n">
        <v>9.2</v>
      </c>
      <c r="I157" s="9" t="n">
        <v>20.5</v>
      </c>
      <c r="J157" s="9" t="n">
        <v>23.5</v>
      </c>
      <c r="K157" s="9" t="n">
        <v>25.7</v>
      </c>
      <c r="L157" s="10" t="n">
        <v>2026</v>
      </c>
      <c r="M157" s="0" t="n">
        <f aca="false">D157/E157</f>
        <v>0.538461538461538</v>
      </c>
      <c r="N157" s="9" t="s">
        <v>368</v>
      </c>
      <c r="O157" s="9" t="n">
        <v>14.5</v>
      </c>
      <c r="P157" s="0" t="n">
        <v>2053</v>
      </c>
      <c r="Q157" s="9" t="s">
        <v>368</v>
      </c>
    </row>
    <row r="158" customFormat="false" ht="14.25" hidden="false" customHeight="false" outlineLevel="0" collapsed="false">
      <c r="A158" s="5" t="n">
        <v>2054</v>
      </c>
      <c r="B158" s="6" t="s">
        <v>369</v>
      </c>
      <c r="C158" s="6" t="s">
        <v>114</v>
      </c>
      <c r="D158" s="6" t="n">
        <v>68</v>
      </c>
      <c r="E158" s="6" t="n">
        <v>32</v>
      </c>
      <c r="F158" s="6" t="n">
        <v>16.599</v>
      </c>
      <c r="G158" s="6" t="n">
        <v>20.2</v>
      </c>
      <c r="H158" s="6" t="n">
        <v>8.8</v>
      </c>
      <c r="I158" s="6" t="n">
        <v>15.2</v>
      </c>
      <c r="J158" s="6" t="n">
        <v>19.2</v>
      </c>
      <c r="K158" s="6" t="n">
        <v>36.8</v>
      </c>
      <c r="L158" s="7" t="n">
        <v>2026</v>
      </c>
      <c r="M158" s="0" t="n">
        <f aca="false">D158/E158</f>
        <v>2.125</v>
      </c>
      <c r="N158" s="6" t="s">
        <v>370</v>
      </c>
      <c r="O158" s="6" t="n">
        <v>15.3</v>
      </c>
      <c r="P158" s="0" t="n">
        <v>2054</v>
      </c>
      <c r="Q158" s="6" t="s">
        <v>370</v>
      </c>
    </row>
    <row r="159" customFormat="false" ht="14.25" hidden="false" customHeight="false" outlineLevel="0" collapsed="false">
      <c r="A159" s="8" t="n">
        <v>2055</v>
      </c>
      <c r="B159" s="9" t="s">
        <v>371</v>
      </c>
      <c r="C159" s="9" t="s">
        <v>95</v>
      </c>
      <c r="D159" s="9" t="n">
        <v>67</v>
      </c>
      <c r="E159" s="9" t="n">
        <v>33</v>
      </c>
      <c r="F159" s="9" t="n">
        <v>16.54</v>
      </c>
      <c r="G159" s="9" t="n">
        <v>25.6</v>
      </c>
      <c r="H159" s="9" t="n">
        <v>11.2</v>
      </c>
      <c r="I159" s="9" t="n">
        <v>8</v>
      </c>
      <c r="J159" s="9" t="n">
        <v>17.5</v>
      </c>
      <c r="K159" s="9" t="n">
        <v>35.2</v>
      </c>
      <c r="L159" s="10" t="n">
        <v>2026</v>
      </c>
      <c r="M159" s="0" t="n">
        <f aca="false">D159/E159</f>
        <v>2.03030303030303</v>
      </c>
      <c r="N159" s="9" t="s">
        <v>372</v>
      </c>
      <c r="O159" s="9" t="n">
        <v>11.6</v>
      </c>
      <c r="P159" s="0" t="n">
        <v>2055</v>
      </c>
      <c r="Q159" s="9" t="s">
        <v>372</v>
      </c>
    </row>
    <row r="160" customFormat="false" ht="14.25" hidden="false" customHeight="false" outlineLevel="0" collapsed="false">
      <c r="A160" s="5" t="n">
        <v>2056</v>
      </c>
      <c r="B160" s="6" t="s">
        <v>373</v>
      </c>
      <c r="C160" s="6" t="s">
        <v>42</v>
      </c>
      <c r="D160" s="6" t="n">
        <v>47</v>
      </c>
      <c r="E160" s="6" t="n">
        <v>53</v>
      </c>
      <c r="F160" s="6" t="n">
        <v>16.521</v>
      </c>
      <c r="G160" s="6" t="n">
        <v>16.4</v>
      </c>
      <c r="H160" s="6" t="n">
        <v>10.3</v>
      </c>
      <c r="I160" s="6" t="n">
        <v>20</v>
      </c>
      <c r="J160" s="6" t="n">
        <v>16.4</v>
      </c>
      <c r="K160" s="6" t="n">
        <v>27.2</v>
      </c>
      <c r="L160" s="7" t="n">
        <v>2026</v>
      </c>
      <c r="M160" s="0" t="n">
        <f aca="false">D160/E160</f>
        <v>0.886792452830189</v>
      </c>
      <c r="N160" s="6" t="s">
        <v>374</v>
      </c>
      <c r="O160" s="6" t="n">
        <v>21.9</v>
      </c>
      <c r="P160" s="0" t="n">
        <v>2056</v>
      </c>
      <c r="Q160" s="6" t="s">
        <v>374</v>
      </c>
    </row>
    <row r="161" customFormat="false" ht="14.25" hidden="false" customHeight="false" outlineLevel="0" collapsed="false">
      <c r="A161" s="8" t="n">
        <v>2057</v>
      </c>
      <c r="B161" s="9" t="s">
        <v>375</v>
      </c>
      <c r="C161" s="9" t="s">
        <v>161</v>
      </c>
      <c r="D161" s="9" t="n">
        <v>48</v>
      </c>
      <c r="E161" s="9" t="n">
        <v>52</v>
      </c>
      <c r="F161" s="9" t="n">
        <v>16.515</v>
      </c>
      <c r="G161" s="9" t="n">
        <v>12.3</v>
      </c>
      <c r="H161" s="9" t="n">
        <v>8.3</v>
      </c>
      <c r="I161" s="9" t="n">
        <v>26.1</v>
      </c>
      <c r="J161" s="9" t="n">
        <v>18.8</v>
      </c>
      <c r="K161" s="9" t="n">
        <v>25.3</v>
      </c>
      <c r="L161" s="10" t="n">
        <v>2026</v>
      </c>
      <c r="M161" s="0" t="n">
        <f aca="false">D161/E161</f>
        <v>0.923076923076923</v>
      </c>
      <c r="N161" s="9" t="s">
        <v>376</v>
      </c>
      <c r="O161" s="9" t="n">
        <v>20.3</v>
      </c>
      <c r="P161" s="0" t="n">
        <v>2057</v>
      </c>
      <c r="Q161" s="9" t="s">
        <v>376</v>
      </c>
    </row>
    <row r="162" customFormat="false" ht="14.25" hidden="false" customHeight="false" outlineLevel="0" collapsed="false">
      <c r="A162" s="5" t="n">
        <v>2058</v>
      </c>
      <c r="B162" s="6" t="s">
        <v>377</v>
      </c>
      <c r="C162" s="6" t="s">
        <v>92</v>
      </c>
      <c r="D162" s="6" t="n">
        <v>44</v>
      </c>
      <c r="E162" s="6" t="n">
        <v>56</v>
      </c>
      <c r="F162" s="6" t="n">
        <v>16.505</v>
      </c>
      <c r="G162" s="6" t="n">
        <v>20.6</v>
      </c>
      <c r="H162" s="6" t="n">
        <v>10.6</v>
      </c>
      <c r="I162" s="6" t="n">
        <v>13.8</v>
      </c>
      <c r="J162" s="6" t="n">
        <v>16.6</v>
      </c>
      <c r="K162" s="6" t="n">
        <v>34</v>
      </c>
      <c r="L162" s="7" t="n">
        <v>2026</v>
      </c>
      <c r="M162" s="0" t="n">
        <f aca="false">D162/E162</f>
        <v>0.785714285714286</v>
      </c>
      <c r="N162" s="6" t="s">
        <v>378</v>
      </c>
      <c r="O162" s="6" t="n">
        <v>13.3</v>
      </c>
      <c r="P162" s="0" t="n">
        <v>2058</v>
      </c>
      <c r="Q162" s="6" t="s">
        <v>378</v>
      </c>
    </row>
    <row r="163" customFormat="false" ht="14.25" hidden="false" customHeight="false" outlineLevel="0" collapsed="false">
      <c r="A163" s="8" t="n">
        <v>2059</v>
      </c>
      <c r="B163" s="9" t="s">
        <v>379</v>
      </c>
      <c r="C163" s="9" t="s">
        <v>78</v>
      </c>
      <c r="D163" s="9" t="n">
        <v>64</v>
      </c>
      <c r="E163" s="9" t="n">
        <v>36</v>
      </c>
      <c r="F163" s="9" t="n">
        <v>16.4945</v>
      </c>
      <c r="G163" s="9" t="n">
        <v>23.6</v>
      </c>
      <c r="H163" s="9" t="n">
        <v>10</v>
      </c>
      <c r="I163" s="9" t="n">
        <v>13</v>
      </c>
      <c r="J163" s="9" t="n">
        <v>19</v>
      </c>
      <c r="K163" s="9" t="n">
        <v>26.3</v>
      </c>
      <c r="L163" s="10" t="n">
        <v>2026</v>
      </c>
      <c r="M163" s="0" t="n">
        <f aca="false">D163/E163</f>
        <v>1.77777777777778</v>
      </c>
      <c r="N163" s="9" t="s">
        <v>380</v>
      </c>
      <c r="O163" s="9" t="n">
        <v>4.4</v>
      </c>
      <c r="P163" s="0" t="n">
        <v>2059</v>
      </c>
      <c r="Q163" s="9" t="s">
        <v>380</v>
      </c>
    </row>
    <row r="164" customFormat="false" ht="14.25" hidden="false" customHeight="false" outlineLevel="0" collapsed="false">
      <c r="A164" s="5" t="n">
        <v>2060</v>
      </c>
      <c r="B164" s="6" t="s">
        <v>381</v>
      </c>
      <c r="C164" s="6" t="s">
        <v>16</v>
      </c>
      <c r="D164" s="6" t="n">
        <v>29</v>
      </c>
      <c r="E164" s="6" t="n">
        <v>71</v>
      </c>
      <c r="F164" s="6" t="n">
        <v>16.4945</v>
      </c>
      <c r="G164" s="6" t="n">
        <v>13.3</v>
      </c>
      <c r="H164" s="6" t="n">
        <v>12.7</v>
      </c>
      <c r="I164" s="6" t="n">
        <v>16.8</v>
      </c>
      <c r="J164" s="6" t="n">
        <v>54.2</v>
      </c>
      <c r="K164" s="6" t="n">
        <v>22.4</v>
      </c>
      <c r="L164" s="7" t="n">
        <v>2026</v>
      </c>
      <c r="M164" s="0" t="n">
        <f aca="false">D164/E164</f>
        <v>0.408450704225352</v>
      </c>
      <c r="N164" s="6" t="s">
        <v>382</v>
      </c>
      <c r="O164" s="6" t="n">
        <v>22.1</v>
      </c>
      <c r="P164" s="0" t="n">
        <v>2060</v>
      </c>
      <c r="Q164" s="6" t="s">
        <v>382</v>
      </c>
    </row>
    <row r="165" customFormat="false" ht="14.25" hidden="false" customHeight="false" outlineLevel="0" collapsed="false">
      <c r="A165" s="8" t="n">
        <v>2061</v>
      </c>
      <c r="B165" s="9" t="s">
        <v>383</v>
      </c>
      <c r="C165" s="9" t="s">
        <v>384</v>
      </c>
      <c r="D165" s="9" t="n">
        <v>38</v>
      </c>
      <c r="E165" s="9" t="n">
        <v>62</v>
      </c>
      <c r="F165" s="9" t="n">
        <v>16.478</v>
      </c>
      <c r="G165" s="9" t="n">
        <v>20.1</v>
      </c>
      <c r="H165" s="9" t="n">
        <v>8.6</v>
      </c>
      <c r="I165" s="9" t="n">
        <v>14.7</v>
      </c>
      <c r="J165" s="9" t="n">
        <v>17.8</v>
      </c>
      <c r="K165" s="9" t="n">
        <v>39.1</v>
      </c>
      <c r="L165" s="10" t="n">
        <v>2026</v>
      </c>
      <c r="M165" s="0" t="n">
        <f aca="false">D165/E165</f>
        <v>0.612903225806452</v>
      </c>
      <c r="N165" s="9" t="s">
        <v>385</v>
      </c>
      <c r="O165" s="9" t="n">
        <v>12.8</v>
      </c>
      <c r="P165" s="0" t="n">
        <v>2061</v>
      </c>
      <c r="Q165" s="9" t="s">
        <v>385</v>
      </c>
    </row>
    <row r="166" customFormat="false" ht="14.25" hidden="false" customHeight="false" outlineLevel="0" collapsed="false">
      <c r="A166" s="5" t="n">
        <v>2062</v>
      </c>
      <c r="B166" s="6" t="s">
        <v>386</v>
      </c>
      <c r="C166" s="6" t="s">
        <v>95</v>
      </c>
      <c r="D166" s="6" t="n">
        <v>72</v>
      </c>
      <c r="E166" s="6" t="n">
        <v>28</v>
      </c>
      <c r="F166" s="6" t="n">
        <v>16.464</v>
      </c>
      <c r="G166" s="6" t="n">
        <v>20.7</v>
      </c>
      <c r="H166" s="6" t="n">
        <v>12.9</v>
      </c>
      <c r="I166" s="6" t="n">
        <v>9.8</v>
      </c>
      <c r="J166" s="6" t="n">
        <v>18.6</v>
      </c>
      <c r="K166" s="6" t="n">
        <v>39.1</v>
      </c>
      <c r="L166" s="7" t="n">
        <v>2026</v>
      </c>
      <c r="M166" s="0" t="n">
        <f aca="false">D166/E166</f>
        <v>2.57142857142857</v>
      </c>
      <c r="N166" s="6" t="s">
        <v>387</v>
      </c>
      <c r="O166" s="6" t="n">
        <v>16</v>
      </c>
      <c r="P166" s="0" t="n">
        <v>2062</v>
      </c>
      <c r="Q166" s="6" t="s">
        <v>387</v>
      </c>
    </row>
    <row r="167" customFormat="false" ht="14.25" hidden="false" customHeight="false" outlineLevel="0" collapsed="false">
      <c r="A167" s="8" t="n">
        <v>2063</v>
      </c>
      <c r="B167" s="9" t="s">
        <v>388</v>
      </c>
      <c r="C167" s="9" t="s">
        <v>161</v>
      </c>
      <c r="D167" s="9" t="n">
        <v>56</v>
      </c>
      <c r="E167" s="9" t="n">
        <v>44</v>
      </c>
      <c r="F167" s="9" t="n">
        <v>16.4445</v>
      </c>
      <c r="G167" s="9" t="n">
        <v>19.3</v>
      </c>
      <c r="H167" s="9" t="n">
        <v>10.5</v>
      </c>
      <c r="I167" s="9" t="n">
        <v>16.9</v>
      </c>
      <c r="J167" s="9" t="n">
        <v>29.9</v>
      </c>
      <c r="K167" s="9" t="n">
        <v>19.2</v>
      </c>
      <c r="L167" s="10" t="n">
        <v>2026</v>
      </c>
      <c r="M167" s="0" t="n">
        <f aca="false">D167/E167</f>
        <v>1.27272727272727</v>
      </c>
      <c r="N167" s="9" t="s">
        <v>389</v>
      </c>
      <c r="O167" s="9" t="n">
        <v>13.7</v>
      </c>
      <c r="P167" s="0" t="n">
        <v>2063</v>
      </c>
      <c r="Q167" s="9" t="s">
        <v>389</v>
      </c>
    </row>
    <row r="168" customFormat="false" ht="14.25" hidden="false" customHeight="false" outlineLevel="0" collapsed="false">
      <c r="A168" s="5" t="n">
        <v>2064</v>
      </c>
      <c r="B168" s="6" t="s">
        <v>390</v>
      </c>
      <c r="C168" s="6" t="s">
        <v>114</v>
      </c>
      <c r="D168" s="6" t="n">
        <v>55</v>
      </c>
      <c r="E168" s="6" t="n">
        <v>45</v>
      </c>
      <c r="F168" s="6" t="n">
        <v>16.42</v>
      </c>
      <c r="G168" s="6" t="n">
        <v>18.5</v>
      </c>
      <c r="H168" s="6" t="n">
        <v>9.8</v>
      </c>
      <c r="I168" s="6" t="n">
        <v>15.7</v>
      </c>
      <c r="J168" s="6" t="n">
        <v>18.7</v>
      </c>
      <c r="K168" s="6" t="n">
        <v>35.5</v>
      </c>
      <c r="L168" s="7" t="n">
        <v>2026</v>
      </c>
      <c r="M168" s="0" t="n">
        <f aca="false">D168/E168</f>
        <v>1.22222222222222</v>
      </c>
      <c r="N168" s="6" t="s">
        <v>391</v>
      </c>
      <c r="O168" s="6" t="n">
        <v>17.5</v>
      </c>
      <c r="P168" s="0" t="n">
        <v>2064</v>
      </c>
      <c r="Q168" s="6" t="s">
        <v>391</v>
      </c>
    </row>
    <row r="169" customFormat="false" ht="14.25" hidden="false" customHeight="false" outlineLevel="0" collapsed="false">
      <c r="A169" s="8" t="n">
        <v>2065</v>
      </c>
      <c r="B169" s="9" t="s">
        <v>392</v>
      </c>
      <c r="C169" s="9" t="s">
        <v>25</v>
      </c>
      <c r="D169" s="9" t="n">
        <v>56</v>
      </c>
      <c r="E169" s="9" t="n">
        <v>44</v>
      </c>
      <c r="F169" s="9" t="n">
        <v>16.378</v>
      </c>
      <c r="G169" s="9" t="n">
        <v>14.2</v>
      </c>
      <c r="H169" s="9" t="n">
        <v>9.4</v>
      </c>
      <c r="I169" s="9" t="n">
        <v>18.1</v>
      </c>
      <c r="J169" s="9" t="n">
        <v>17.2</v>
      </c>
      <c r="K169" s="9" t="n">
        <v>44.6</v>
      </c>
      <c r="L169" s="10" t="n">
        <v>2026</v>
      </c>
      <c r="M169" s="0" t="n">
        <f aca="false">D169/E169</f>
        <v>1.27272727272727</v>
      </c>
      <c r="N169" s="9" t="s">
        <v>393</v>
      </c>
      <c r="O169" s="9" t="n">
        <v>21.5</v>
      </c>
      <c r="P169" s="0" t="n">
        <v>2065</v>
      </c>
      <c r="Q169" s="9" t="s">
        <v>393</v>
      </c>
    </row>
    <row r="170" customFormat="false" ht="14.25" hidden="false" customHeight="false" outlineLevel="0" collapsed="false">
      <c r="A170" s="5" t="n">
        <v>2066</v>
      </c>
      <c r="B170" s="6" t="s">
        <v>394</v>
      </c>
      <c r="C170" s="6" t="s">
        <v>109</v>
      </c>
      <c r="D170" s="6" t="n">
        <v>60</v>
      </c>
      <c r="E170" s="6" t="n">
        <v>40</v>
      </c>
      <c r="F170" s="6" t="n">
        <v>16.3275</v>
      </c>
      <c r="G170" s="6" t="n">
        <v>24.9</v>
      </c>
      <c r="H170" s="6" t="n">
        <v>12</v>
      </c>
      <c r="I170" s="6" t="n">
        <v>10.2</v>
      </c>
      <c r="J170" s="6" t="n">
        <v>19.8</v>
      </c>
      <c r="K170" s="6" t="n">
        <v>22</v>
      </c>
      <c r="L170" s="7" t="n">
        <v>2026</v>
      </c>
      <c r="M170" s="0" t="n">
        <f aca="false">D170/E170</f>
        <v>1.5</v>
      </c>
      <c r="N170" s="6" t="s">
        <v>395</v>
      </c>
      <c r="O170" s="6" t="n">
        <v>13</v>
      </c>
      <c r="P170" s="0" t="n">
        <v>2066</v>
      </c>
      <c r="Q170" s="6" t="s">
        <v>395</v>
      </c>
    </row>
    <row r="171" customFormat="false" ht="14.25" hidden="false" customHeight="false" outlineLevel="0" collapsed="false">
      <c r="A171" s="8" t="n">
        <v>2067</v>
      </c>
      <c r="B171" s="9" t="s">
        <v>396</v>
      </c>
      <c r="C171" s="9" t="s">
        <v>109</v>
      </c>
      <c r="D171" s="9" t="n">
        <v>58</v>
      </c>
      <c r="E171" s="9" t="n">
        <v>42</v>
      </c>
      <c r="F171" s="9" t="n">
        <v>16.3205</v>
      </c>
      <c r="G171" s="9" t="n">
        <v>23.6</v>
      </c>
      <c r="H171" s="9" t="n">
        <v>9.1</v>
      </c>
      <c r="I171" s="9" t="n">
        <v>12</v>
      </c>
      <c r="J171" s="9" t="n">
        <v>17.8</v>
      </c>
      <c r="K171" s="9" t="n">
        <v>32.1</v>
      </c>
      <c r="L171" s="10" t="n">
        <v>2026</v>
      </c>
      <c r="M171" s="0" t="n">
        <f aca="false">D171/E171</f>
        <v>1.38095238095238</v>
      </c>
      <c r="N171" s="9" t="s">
        <v>397</v>
      </c>
      <c r="O171" s="9" t="n">
        <v>20</v>
      </c>
      <c r="P171" s="0" t="n">
        <v>2067</v>
      </c>
      <c r="Q171" s="9" t="s">
        <v>397</v>
      </c>
    </row>
    <row r="172" customFormat="false" ht="14.25" hidden="false" customHeight="false" outlineLevel="0" collapsed="false">
      <c r="A172" s="5" t="n">
        <v>2068</v>
      </c>
      <c r="B172" s="6" t="s">
        <v>398</v>
      </c>
      <c r="C172" s="6" t="s">
        <v>153</v>
      </c>
      <c r="D172" s="6" t="n">
        <v>46</v>
      </c>
      <c r="E172" s="6" t="n">
        <v>54</v>
      </c>
      <c r="F172" s="6" t="n">
        <v>16.3055</v>
      </c>
      <c r="G172" s="6" t="n">
        <v>16.2</v>
      </c>
      <c r="H172" s="6" t="n">
        <v>11.4</v>
      </c>
      <c r="I172" s="6" t="n">
        <v>14.4</v>
      </c>
      <c r="J172" s="6" t="n">
        <v>24.2</v>
      </c>
      <c r="K172" s="6" t="n">
        <v>39.1</v>
      </c>
      <c r="L172" s="7" t="n">
        <v>2026</v>
      </c>
      <c r="M172" s="0" t="n">
        <f aca="false">D172/E172</f>
        <v>0.851851851851852</v>
      </c>
      <c r="N172" s="6" t="s">
        <v>399</v>
      </c>
      <c r="O172" s="6" t="n">
        <v>25.4</v>
      </c>
      <c r="P172" s="0" t="n">
        <v>2068</v>
      </c>
      <c r="Q172" s="6" t="s">
        <v>399</v>
      </c>
    </row>
    <row r="173" customFormat="false" ht="14.25" hidden="false" customHeight="false" outlineLevel="0" collapsed="false">
      <c r="A173" s="8" t="n">
        <v>2069</v>
      </c>
      <c r="B173" s="9" t="s">
        <v>400</v>
      </c>
      <c r="C173" s="9" t="s">
        <v>39</v>
      </c>
      <c r="D173" s="9" t="n">
        <v>42</v>
      </c>
      <c r="E173" s="9" t="n">
        <v>58</v>
      </c>
      <c r="F173" s="9" t="n">
        <v>16.256</v>
      </c>
      <c r="G173" s="9" t="n">
        <v>18.1</v>
      </c>
      <c r="H173" s="9" t="n">
        <v>11.1</v>
      </c>
      <c r="I173" s="9" t="n">
        <v>12.4</v>
      </c>
      <c r="J173" s="9" t="n">
        <v>35.5</v>
      </c>
      <c r="K173" s="9" t="n">
        <v>34.1</v>
      </c>
      <c r="L173" s="10" t="n">
        <v>2026</v>
      </c>
      <c r="M173" s="0" t="n">
        <f aca="false">D173/E173</f>
        <v>0.724137931034483</v>
      </c>
      <c r="N173" s="9" t="s">
        <v>401</v>
      </c>
      <c r="O173" s="9" t="n">
        <v>18.1</v>
      </c>
      <c r="P173" s="0" t="n">
        <v>2069</v>
      </c>
      <c r="Q173" s="9" t="s">
        <v>401</v>
      </c>
    </row>
    <row r="174" customFormat="false" ht="14.25" hidden="false" customHeight="false" outlineLevel="0" collapsed="false">
      <c r="A174" s="5" t="n">
        <v>2070</v>
      </c>
      <c r="B174" s="6" t="s">
        <v>402</v>
      </c>
      <c r="C174" s="6" t="s">
        <v>16</v>
      </c>
      <c r="D174" s="6" t="n">
        <v>48</v>
      </c>
      <c r="E174" s="6" t="n">
        <v>52</v>
      </c>
      <c r="F174" s="6" t="n">
        <v>16.175</v>
      </c>
      <c r="G174" s="6" t="n">
        <v>14.8</v>
      </c>
      <c r="H174" s="6" t="n">
        <v>11.9</v>
      </c>
      <c r="I174" s="6" t="n">
        <v>15.8</v>
      </c>
      <c r="J174" s="6" t="n">
        <v>34.2</v>
      </c>
      <c r="K174" s="6" t="n">
        <v>30</v>
      </c>
      <c r="L174" s="7" t="n">
        <v>2026</v>
      </c>
      <c r="M174" s="0" t="n">
        <f aca="false">D174/E174</f>
        <v>0.923076923076923</v>
      </c>
      <c r="N174" s="6" t="s">
        <v>403</v>
      </c>
      <c r="O174" s="6" t="n">
        <v>21.2</v>
      </c>
      <c r="P174" s="0" t="n">
        <v>2070</v>
      </c>
      <c r="Q174" s="6" t="s">
        <v>403</v>
      </c>
    </row>
    <row r="175" customFormat="false" ht="14.25" hidden="false" customHeight="false" outlineLevel="0" collapsed="false">
      <c r="A175" s="8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10"/>
      <c r="N175" s="9"/>
      <c r="O175" s="9"/>
      <c r="Q175" s="9"/>
    </row>
    <row r="176" customFormat="false" ht="14.25" hidden="false" customHeight="false" outlineLevel="0" collapsed="false">
      <c r="A176" s="5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7"/>
      <c r="N176" s="6"/>
      <c r="O176" s="6"/>
      <c r="Q176" s="6"/>
    </row>
    <row r="177" customFormat="false" ht="14.25" hidden="false" customHeight="false" outlineLevel="0" collapsed="false">
      <c r="A177" s="8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10"/>
      <c r="N177" s="9"/>
      <c r="O177" s="9"/>
      <c r="Q177" s="9"/>
    </row>
    <row r="178" customFormat="false" ht="14.25" hidden="false" customHeight="false" outlineLevel="0" collapsed="false">
      <c r="A178" s="5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7"/>
      <c r="N178" s="6"/>
      <c r="O178" s="6"/>
      <c r="Q178" s="6"/>
    </row>
    <row r="179" customFormat="false" ht="14.25" hidden="false" customHeight="false" outlineLevel="0" collapsed="false">
      <c r="A179" s="8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10"/>
      <c r="N179" s="9"/>
      <c r="O179" s="9"/>
      <c r="Q179" s="9"/>
    </row>
    <row r="180" customFormat="false" ht="14.25" hidden="false" customHeight="false" outlineLevel="0" collapsed="false">
      <c r="A180" s="5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7"/>
      <c r="N180" s="6"/>
      <c r="O180" s="6"/>
      <c r="Q180" s="6"/>
    </row>
    <row r="181" customFormat="false" ht="14.25" hidden="false" customHeight="false" outlineLevel="0" collapsed="false">
      <c r="A181" s="8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10"/>
      <c r="N181" s="9"/>
      <c r="O181" s="9"/>
      <c r="Q181" s="9"/>
    </row>
    <row r="182" customFormat="false" ht="14.25" hidden="false" customHeight="false" outlineLevel="0" collapsed="false">
      <c r="A182" s="5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7"/>
      <c r="N182" s="6"/>
      <c r="O182" s="6"/>
      <c r="Q182" s="6"/>
    </row>
    <row r="183" customFormat="false" ht="14.25" hidden="false" customHeight="false" outlineLevel="0" collapsed="false">
      <c r="A183" s="8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10"/>
      <c r="N183" s="9"/>
      <c r="O183" s="9"/>
      <c r="Q183" s="9"/>
    </row>
    <row r="184" customFormat="false" ht="14.25" hidden="false" customHeight="false" outlineLevel="0" collapsed="false">
      <c r="A184" s="5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7"/>
      <c r="N184" s="6"/>
      <c r="O184" s="6"/>
      <c r="Q184" s="6"/>
    </row>
    <row r="185" customFormat="false" ht="14.25" hidden="false" customHeight="false" outlineLevel="0" collapsed="false">
      <c r="A185" s="8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10"/>
      <c r="N185" s="9"/>
      <c r="O185" s="9"/>
      <c r="Q185" s="9"/>
    </row>
    <row r="186" customFormat="false" ht="14.25" hidden="false" customHeight="false" outlineLevel="0" collapsed="false">
      <c r="A186" s="5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7"/>
      <c r="N186" s="6"/>
      <c r="O186" s="6"/>
      <c r="Q186" s="6"/>
    </row>
    <row r="187" customFormat="false" ht="14.25" hidden="false" customHeight="false" outlineLevel="0" collapsed="false">
      <c r="A187" s="8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10"/>
      <c r="N187" s="9"/>
      <c r="O187" s="9"/>
      <c r="Q187" s="9"/>
    </row>
    <row r="188" customFormat="false" ht="14.25" hidden="false" customHeight="false" outlineLevel="0" collapsed="false">
      <c r="A188" s="5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7"/>
      <c r="N188" s="6"/>
      <c r="O188" s="6"/>
      <c r="Q188" s="6"/>
    </row>
    <row r="189" customFormat="false" ht="14.25" hidden="false" customHeight="false" outlineLevel="0" collapsed="false">
      <c r="A189" s="8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10"/>
      <c r="N189" s="9"/>
      <c r="O189" s="9"/>
      <c r="Q189" s="9"/>
    </row>
    <row r="190" customFormat="false" ht="14.25" hidden="false" customHeight="false" outlineLevel="0" collapsed="false">
      <c r="A190" s="5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7"/>
      <c r="N190" s="6"/>
      <c r="O190" s="6"/>
      <c r="Q190" s="6"/>
    </row>
    <row r="191" customFormat="false" ht="14.25" hidden="false" customHeight="false" outlineLevel="0" collapsed="false">
      <c r="A191" s="8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10"/>
      <c r="N191" s="9"/>
      <c r="O191" s="9"/>
      <c r="Q191" s="9"/>
    </row>
    <row r="192" customFormat="false" ht="14.25" hidden="false" customHeight="false" outlineLevel="0" collapsed="false">
      <c r="A192" s="5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7"/>
      <c r="N192" s="6"/>
      <c r="O192" s="6"/>
      <c r="Q192" s="6"/>
    </row>
    <row r="193" customFormat="false" ht="14.25" hidden="false" customHeight="false" outlineLevel="0" collapsed="false">
      <c r="A193" s="8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10"/>
      <c r="N193" s="9"/>
      <c r="O193" s="9"/>
      <c r="Q193" s="9"/>
    </row>
    <row r="194" customFormat="false" ht="14.25" hidden="false" customHeight="false" outlineLevel="0" collapsed="false">
      <c r="A194" s="5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7"/>
      <c r="N194" s="6"/>
      <c r="O194" s="6"/>
      <c r="Q194" s="6"/>
    </row>
    <row r="195" customFormat="false" ht="14.25" hidden="false" customHeight="false" outlineLevel="0" collapsed="false">
      <c r="A195" s="8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10"/>
      <c r="N195" s="9"/>
      <c r="O195" s="9"/>
      <c r="Q195" s="9"/>
    </row>
    <row r="196" customFormat="false" ht="14.25" hidden="false" customHeight="false" outlineLevel="0" collapsed="false">
      <c r="A196" s="5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7"/>
      <c r="N196" s="6"/>
      <c r="O196" s="6"/>
      <c r="Q196" s="6"/>
    </row>
    <row r="197" customFormat="false" ht="14.25" hidden="false" customHeight="false" outlineLevel="0" collapsed="false">
      <c r="A197" s="8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10"/>
      <c r="N197" s="9"/>
      <c r="O197" s="9"/>
      <c r="Q197" s="9"/>
    </row>
    <row r="198" customFormat="false" ht="14.25" hidden="false" customHeight="false" outlineLevel="0" collapsed="false">
      <c r="A198" s="5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7"/>
      <c r="N198" s="6"/>
      <c r="O198" s="6"/>
      <c r="Q198" s="6"/>
    </row>
    <row r="199" customFormat="false" ht="14.25" hidden="false" customHeight="false" outlineLevel="0" collapsed="false">
      <c r="A199" s="8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10"/>
      <c r="N199" s="9"/>
      <c r="O199" s="9"/>
      <c r="Q199" s="9"/>
    </row>
    <row r="200" customFormat="false" ht="14.25" hidden="false" customHeight="false" outlineLevel="0" collapsed="false">
      <c r="A200" s="5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7"/>
      <c r="N200" s="6"/>
      <c r="O200" s="6"/>
      <c r="Q200" s="6"/>
    </row>
    <row r="201" customFormat="false" ht="14.25" hidden="false" customHeight="false" outlineLevel="0" collapsed="false">
      <c r="A201" s="8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10"/>
      <c r="N201" s="9"/>
      <c r="O201" s="9"/>
      <c r="Q201" s="9"/>
    </row>
    <row r="202" customFormat="false" ht="14.25" hidden="false" customHeight="false" outlineLevel="0" collapsed="false">
      <c r="A202" s="5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7"/>
      <c r="N202" s="6"/>
      <c r="O202" s="6"/>
      <c r="Q202" s="6"/>
    </row>
    <row r="203" customFormat="false" ht="14.25" hidden="false" customHeight="false" outlineLevel="0" collapsed="false">
      <c r="A203" s="8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10"/>
      <c r="N203" s="9"/>
      <c r="O203" s="9"/>
      <c r="Q203" s="9"/>
    </row>
    <row r="204" customFormat="false" ht="14.25" hidden="false" customHeight="false" outlineLevel="0" collapsed="false">
      <c r="A204" s="5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7"/>
      <c r="N204" s="6"/>
      <c r="O204" s="6"/>
      <c r="Q204" s="6"/>
    </row>
    <row r="205" customFormat="false" ht="14.25" hidden="false" customHeight="false" outlineLevel="0" collapsed="false">
      <c r="A205" s="8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10"/>
      <c r="N205" s="9"/>
      <c r="O205" s="9"/>
      <c r="Q205" s="9"/>
    </row>
    <row r="206" customFormat="false" ht="14.25" hidden="false" customHeight="false" outlineLevel="0" collapsed="false">
      <c r="A206" s="5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7"/>
      <c r="N206" s="6"/>
      <c r="O206" s="6"/>
      <c r="Q206" s="6"/>
    </row>
    <row r="207" customFormat="false" ht="14.25" hidden="false" customHeight="false" outlineLevel="0" collapsed="false">
      <c r="A207" s="8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10"/>
      <c r="N207" s="9"/>
      <c r="O207" s="9"/>
      <c r="Q207" s="9"/>
    </row>
    <row r="208" customFormat="false" ht="14.25" hidden="false" customHeight="false" outlineLevel="0" collapsed="false">
      <c r="A208" s="5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7"/>
      <c r="N208" s="6"/>
      <c r="O208" s="6"/>
      <c r="Q208" s="6"/>
    </row>
    <row r="209" customFormat="false" ht="14.25" hidden="false" customHeight="false" outlineLevel="0" collapsed="false">
      <c r="A209" s="8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10"/>
      <c r="N209" s="9"/>
      <c r="O209" s="9"/>
      <c r="Q209" s="9"/>
    </row>
    <row r="210" customFormat="false" ht="14.25" hidden="false" customHeight="false" outlineLevel="0" collapsed="false">
      <c r="A210" s="5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7"/>
      <c r="N210" s="6"/>
      <c r="O210" s="6"/>
      <c r="Q210" s="6"/>
    </row>
    <row r="211" customFormat="false" ht="14.25" hidden="false" customHeight="false" outlineLevel="0" collapsed="false">
      <c r="A211" s="8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10"/>
      <c r="N211" s="9"/>
      <c r="O211" s="9"/>
      <c r="Q211" s="9"/>
    </row>
    <row r="212" customFormat="false" ht="14.25" hidden="false" customHeight="false" outlineLevel="0" collapsed="false">
      <c r="A212" s="5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7"/>
      <c r="N212" s="6"/>
      <c r="O212" s="6"/>
      <c r="Q212" s="6"/>
    </row>
    <row r="213" customFormat="false" ht="14.25" hidden="false" customHeight="false" outlineLevel="0" collapsed="false">
      <c r="A213" s="8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10"/>
      <c r="N213" s="9"/>
      <c r="O213" s="9"/>
      <c r="Q213" s="9"/>
    </row>
    <row r="214" customFormat="false" ht="14.25" hidden="false" customHeight="false" outlineLevel="0" collapsed="false">
      <c r="A214" s="5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7"/>
      <c r="N214" s="6"/>
      <c r="O214" s="6"/>
      <c r="Q214" s="6"/>
    </row>
    <row r="215" customFormat="false" ht="14.25" hidden="false" customHeight="false" outlineLevel="0" collapsed="false">
      <c r="A215" s="8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10"/>
      <c r="N215" s="9"/>
      <c r="O215" s="9"/>
      <c r="Q215" s="9"/>
    </row>
    <row r="216" customFormat="false" ht="14.25" hidden="false" customHeight="false" outlineLevel="0" collapsed="false">
      <c r="A216" s="5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7"/>
      <c r="N216" s="6"/>
      <c r="O216" s="6"/>
      <c r="Q216" s="6"/>
    </row>
    <row r="217" customFormat="false" ht="14.25" hidden="false" customHeight="false" outlineLevel="0" collapsed="false">
      <c r="A217" s="8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10"/>
      <c r="N217" s="9"/>
      <c r="O217" s="9"/>
      <c r="Q217" s="9"/>
    </row>
    <row r="218" customFormat="false" ht="14.25" hidden="false" customHeight="false" outlineLevel="0" collapsed="false">
      <c r="A218" s="5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7"/>
      <c r="N218" s="6"/>
      <c r="O218" s="6"/>
      <c r="Q218" s="6"/>
    </row>
    <row r="219" customFormat="false" ht="14.25" hidden="false" customHeight="false" outlineLevel="0" collapsed="false">
      <c r="A219" s="8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10"/>
      <c r="N219" s="9"/>
      <c r="O219" s="9"/>
      <c r="Q219" s="9"/>
    </row>
    <row r="220" customFormat="false" ht="14.25" hidden="false" customHeight="false" outlineLevel="0" collapsed="false">
      <c r="A220" s="5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7"/>
      <c r="N220" s="6"/>
      <c r="O220" s="6"/>
      <c r="Q220" s="6"/>
    </row>
    <row r="221" customFormat="false" ht="14.25" hidden="false" customHeight="false" outlineLevel="0" collapsed="false">
      <c r="A221" s="8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10"/>
      <c r="N221" s="9"/>
      <c r="O221" s="9"/>
      <c r="Q221" s="9"/>
    </row>
    <row r="222" customFormat="false" ht="14.25" hidden="false" customHeight="false" outlineLevel="0" collapsed="false">
      <c r="A222" s="5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7"/>
      <c r="N222" s="6"/>
      <c r="O222" s="6"/>
      <c r="Q222" s="6"/>
    </row>
    <row r="223" customFormat="false" ht="14.25" hidden="false" customHeight="false" outlineLevel="0" collapsed="false">
      <c r="A223" s="8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10"/>
      <c r="N223" s="9"/>
      <c r="O223" s="9"/>
      <c r="Q223" s="9"/>
    </row>
    <row r="224" customFormat="false" ht="14.25" hidden="false" customHeight="false" outlineLevel="0" collapsed="false">
      <c r="A224" s="5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7"/>
      <c r="N224" s="6"/>
      <c r="O224" s="6"/>
      <c r="Q224" s="6"/>
    </row>
    <row r="225" customFormat="false" ht="14.25" hidden="false" customHeight="false" outlineLevel="0" collapsed="false">
      <c r="A225" s="8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10"/>
      <c r="N225" s="9"/>
      <c r="O225" s="9"/>
      <c r="Q225" s="9"/>
    </row>
    <row r="226" customFormat="false" ht="14.25" hidden="false" customHeight="false" outlineLevel="0" collapsed="false">
      <c r="A226" s="5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7"/>
      <c r="N226" s="6"/>
      <c r="O226" s="6"/>
      <c r="Q226" s="6"/>
    </row>
    <row r="227" customFormat="false" ht="14.25" hidden="false" customHeight="false" outlineLevel="0" collapsed="false">
      <c r="A227" s="8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10"/>
      <c r="N227" s="9"/>
      <c r="O227" s="9"/>
      <c r="Q227" s="9"/>
    </row>
    <row r="228" customFormat="false" ht="14.25" hidden="false" customHeight="false" outlineLevel="0" collapsed="false">
      <c r="A228" s="5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7"/>
      <c r="N228" s="6"/>
      <c r="O228" s="6"/>
      <c r="Q228" s="6"/>
    </row>
    <row r="229" customFormat="false" ht="14.25" hidden="false" customHeight="false" outlineLevel="0" collapsed="false">
      <c r="A229" s="8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10"/>
      <c r="N229" s="9"/>
      <c r="O229" s="9"/>
      <c r="Q229" s="9"/>
    </row>
    <row r="230" customFormat="false" ht="14.25" hidden="false" customHeight="false" outlineLevel="0" collapsed="false">
      <c r="A230" s="5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7"/>
      <c r="N230" s="6"/>
      <c r="O230" s="6"/>
      <c r="Q230" s="6"/>
    </row>
    <row r="231" customFormat="false" ht="14.25" hidden="false" customHeight="false" outlineLevel="0" collapsed="false">
      <c r="A231" s="8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10"/>
      <c r="N231" s="9"/>
      <c r="O231" s="9"/>
      <c r="Q231" s="9"/>
    </row>
    <row r="232" customFormat="false" ht="14.25" hidden="false" customHeight="false" outlineLevel="0" collapsed="false">
      <c r="A232" s="5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7"/>
      <c r="N232" s="6"/>
      <c r="O232" s="6"/>
      <c r="Q232" s="6"/>
    </row>
    <row r="233" customFormat="false" ht="14.25" hidden="false" customHeight="false" outlineLevel="0" collapsed="false">
      <c r="A233" s="8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10"/>
      <c r="N233" s="9"/>
      <c r="O233" s="9"/>
      <c r="Q233" s="9"/>
    </row>
    <row r="234" customFormat="false" ht="14.25" hidden="false" customHeight="false" outlineLevel="0" collapsed="false">
      <c r="A234" s="5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7"/>
      <c r="N234" s="6"/>
      <c r="O234" s="6"/>
      <c r="Q234" s="6"/>
    </row>
    <row r="235" customFormat="false" ht="14.25" hidden="false" customHeight="false" outlineLevel="0" collapsed="false">
      <c r="A235" s="8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10"/>
      <c r="N235" s="9"/>
      <c r="O235" s="9"/>
      <c r="Q235" s="9"/>
    </row>
    <row r="236" customFormat="false" ht="14.25" hidden="false" customHeight="false" outlineLevel="0" collapsed="false">
      <c r="A236" s="5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7"/>
      <c r="N236" s="6"/>
      <c r="O236" s="6"/>
      <c r="Q236" s="6"/>
    </row>
    <row r="237" customFormat="false" ht="14.25" hidden="false" customHeight="false" outlineLevel="0" collapsed="false">
      <c r="A237" s="8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10"/>
      <c r="N237" s="9"/>
      <c r="O237" s="9"/>
      <c r="Q237" s="9"/>
    </row>
    <row r="238" customFormat="false" ht="14.25" hidden="false" customHeight="false" outlineLevel="0" collapsed="false">
      <c r="A238" s="5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7"/>
      <c r="N238" s="6"/>
      <c r="O238" s="6"/>
      <c r="Q238" s="6"/>
    </row>
    <row r="239" customFormat="false" ht="14.25" hidden="false" customHeight="false" outlineLevel="0" collapsed="false">
      <c r="A239" s="8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10"/>
      <c r="N239" s="9"/>
      <c r="O239" s="9"/>
      <c r="Q239" s="9"/>
    </row>
    <row r="240" customFormat="false" ht="14.25" hidden="false" customHeight="false" outlineLevel="0" collapsed="false">
      <c r="A240" s="5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7"/>
      <c r="N240" s="6"/>
      <c r="O240" s="6"/>
      <c r="Q240" s="6"/>
    </row>
    <row r="241" customFormat="false" ht="14.25" hidden="false" customHeight="false" outlineLevel="0" collapsed="false">
      <c r="A241" s="8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10"/>
      <c r="N241" s="9"/>
      <c r="O241" s="9"/>
      <c r="Q241" s="9"/>
    </row>
    <row r="242" customFormat="false" ht="14.25" hidden="false" customHeight="false" outlineLevel="0" collapsed="false">
      <c r="A242" s="5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7"/>
      <c r="N242" s="6"/>
      <c r="O242" s="6"/>
      <c r="Q242" s="6"/>
    </row>
    <row r="243" customFormat="false" ht="14.25" hidden="false" customHeight="false" outlineLevel="0" collapsed="false">
      <c r="A243" s="8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10"/>
      <c r="N243" s="9"/>
      <c r="O243" s="9"/>
      <c r="Q243" s="9"/>
    </row>
    <row r="244" customFormat="false" ht="14.25" hidden="false" customHeight="false" outlineLevel="0" collapsed="false">
      <c r="A244" s="5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7"/>
      <c r="N244" s="6"/>
      <c r="O244" s="6"/>
      <c r="Q244" s="6"/>
    </row>
    <row r="245" customFormat="false" ht="14.25" hidden="false" customHeight="false" outlineLevel="0" collapsed="false">
      <c r="A245" s="8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10"/>
      <c r="N245" s="9"/>
      <c r="O245" s="9"/>
      <c r="Q245" s="9"/>
    </row>
    <row r="246" customFormat="false" ht="14.25" hidden="false" customHeight="false" outlineLevel="0" collapsed="false">
      <c r="A246" s="5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7"/>
      <c r="N246" s="6"/>
      <c r="O246" s="6"/>
      <c r="Q246" s="6"/>
    </row>
    <row r="247" customFormat="false" ht="14.25" hidden="false" customHeight="false" outlineLevel="0" collapsed="false">
      <c r="A247" s="8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10"/>
      <c r="N247" s="9"/>
      <c r="O247" s="9"/>
      <c r="Q247" s="9"/>
    </row>
    <row r="248" customFormat="false" ht="14.25" hidden="false" customHeight="false" outlineLevel="0" collapsed="false">
      <c r="A248" s="5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7"/>
      <c r="N248" s="6"/>
      <c r="O248" s="6"/>
      <c r="Q248" s="6"/>
    </row>
    <row r="249" customFormat="false" ht="14.25" hidden="false" customHeight="false" outlineLevel="0" collapsed="false">
      <c r="A249" s="8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10"/>
      <c r="N249" s="9"/>
      <c r="O249" s="9"/>
      <c r="Q249" s="9"/>
    </row>
    <row r="250" customFormat="false" ht="14.25" hidden="false" customHeight="false" outlineLevel="0" collapsed="false">
      <c r="A250" s="5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7"/>
      <c r="N250" s="6"/>
      <c r="O250" s="6"/>
      <c r="Q250" s="6"/>
    </row>
    <row r="251" customFormat="false" ht="14.25" hidden="false" customHeight="false" outlineLevel="0" collapsed="false">
      <c r="A251" s="8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10"/>
      <c r="N251" s="9"/>
      <c r="O251" s="9"/>
      <c r="Q251" s="9"/>
    </row>
    <row r="252" customFormat="false" ht="14.25" hidden="false" customHeight="false" outlineLevel="0" collapsed="false">
      <c r="A252" s="5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7"/>
      <c r="N252" s="6"/>
      <c r="O252" s="6"/>
      <c r="Q252" s="6"/>
    </row>
    <row r="253" customFormat="false" ht="14.25" hidden="false" customHeight="false" outlineLevel="0" collapsed="false">
      <c r="A253" s="8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10"/>
      <c r="N253" s="9"/>
      <c r="O253" s="9"/>
      <c r="Q253" s="9"/>
    </row>
    <row r="254" customFormat="false" ht="14.25" hidden="false" customHeight="false" outlineLevel="0" collapsed="false">
      <c r="A254" s="5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7"/>
      <c r="N254" s="6"/>
      <c r="O254" s="6"/>
      <c r="Q254" s="6"/>
    </row>
    <row r="255" customFormat="false" ht="14.25" hidden="false" customHeight="false" outlineLevel="0" collapsed="false">
      <c r="A255" s="8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10"/>
      <c r="N255" s="9"/>
      <c r="O255" s="9"/>
      <c r="Q255" s="9"/>
    </row>
    <row r="256" customFormat="false" ht="14.25" hidden="false" customHeight="false" outlineLevel="0" collapsed="false">
      <c r="A256" s="5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7"/>
      <c r="N256" s="6"/>
      <c r="O256" s="6"/>
      <c r="Q256" s="6"/>
    </row>
    <row r="257" customFormat="false" ht="14.25" hidden="false" customHeight="false" outlineLevel="0" collapsed="false">
      <c r="A257" s="8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10"/>
      <c r="N257" s="9"/>
      <c r="O257" s="9"/>
      <c r="Q257" s="9"/>
    </row>
    <row r="258" customFormat="false" ht="14.25" hidden="false" customHeight="false" outlineLevel="0" collapsed="false">
      <c r="A258" s="5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7"/>
      <c r="N258" s="6"/>
      <c r="O258" s="6"/>
      <c r="Q258" s="6"/>
    </row>
    <row r="259" customFormat="false" ht="14.25" hidden="false" customHeight="false" outlineLevel="0" collapsed="false">
      <c r="A259" s="8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10"/>
      <c r="N259" s="9"/>
      <c r="O259" s="9"/>
      <c r="Q259" s="9"/>
    </row>
    <row r="260" customFormat="false" ht="14.25" hidden="false" customHeight="false" outlineLevel="0" collapsed="false">
      <c r="A260" s="5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7"/>
      <c r="N260" s="6"/>
      <c r="O260" s="6"/>
      <c r="Q260" s="6"/>
    </row>
    <row r="261" customFormat="false" ht="14.25" hidden="false" customHeight="false" outlineLevel="0" collapsed="false">
      <c r="A261" s="8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10"/>
      <c r="N261" s="9"/>
      <c r="O261" s="9"/>
      <c r="Q261" s="9"/>
    </row>
    <row r="262" customFormat="false" ht="14.25" hidden="false" customHeight="false" outlineLevel="0" collapsed="false">
      <c r="A262" s="5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7"/>
      <c r="N262" s="6"/>
      <c r="O262" s="6"/>
      <c r="Q262" s="6"/>
    </row>
    <row r="263" customFormat="false" ht="14.25" hidden="false" customHeight="false" outlineLevel="0" collapsed="false">
      <c r="A263" s="8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10"/>
      <c r="N263" s="9"/>
      <c r="O263" s="9"/>
      <c r="Q263" s="9"/>
    </row>
    <row r="264" customFormat="false" ht="14.25" hidden="false" customHeight="false" outlineLevel="0" collapsed="false">
      <c r="A264" s="5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7"/>
      <c r="N264" s="6"/>
      <c r="O264" s="6"/>
      <c r="Q264" s="6"/>
    </row>
    <row r="265" customFormat="false" ht="14.25" hidden="false" customHeight="false" outlineLevel="0" collapsed="false">
      <c r="A265" s="8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10"/>
      <c r="N265" s="9"/>
      <c r="O265" s="9"/>
      <c r="Q265" s="9"/>
    </row>
    <row r="266" customFormat="false" ht="14.25" hidden="false" customHeight="false" outlineLevel="0" collapsed="false">
      <c r="A266" s="5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7"/>
      <c r="N266" s="6"/>
      <c r="O266" s="6"/>
      <c r="Q266" s="6"/>
    </row>
    <row r="267" customFormat="false" ht="14.25" hidden="false" customHeight="false" outlineLevel="0" collapsed="false">
      <c r="A267" s="8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10"/>
      <c r="N267" s="9"/>
      <c r="O267" s="9"/>
      <c r="Q267" s="9"/>
    </row>
    <row r="268" customFormat="false" ht="14.25" hidden="false" customHeight="false" outlineLevel="0" collapsed="false">
      <c r="A268" s="5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7"/>
      <c r="N268" s="6"/>
      <c r="O268" s="6"/>
      <c r="Q268" s="6"/>
    </row>
    <row r="269" customFormat="false" ht="14.25" hidden="false" customHeight="false" outlineLevel="0" collapsed="false">
      <c r="A269" s="8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10"/>
      <c r="N269" s="9"/>
      <c r="O269" s="9"/>
      <c r="Q269" s="9"/>
    </row>
    <row r="270" customFormat="false" ht="14.25" hidden="false" customHeight="false" outlineLevel="0" collapsed="false">
      <c r="A270" s="5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7"/>
      <c r="N270" s="6"/>
      <c r="O270" s="6"/>
      <c r="Q270" s="6"/>
    </row>
    <row r="271" customFormat="false" ht="14.25" hidden="false" customHeight="false" outlineLevel="0" collapsed="false">
      <c r="A271" s="8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10"/>
      <c r="N271" s="9"/>
      <c r="O271" s="9"/>
      <c r="Q271" s="9"/>
    </row>
    <row r="272" customFormat="false" ht="14.25" hidden="false" customHeight="false" outlineLevel="0" collapsed="false">
      <c r="A272" s="5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7"/>
      <c r="N272" s="6"/>
      <c r="O272" s="6"/>
      <c r="Q272" s="6"/>
    </row>
    <row r="273" customFormat="false" ht="14.25" hidden="false" customHeight="false" outlineLevel="0" collapsed="false">
      <c r="A273" s="8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10"/>
      <c r="N273" s="9"/>
      <c r="O273" s="9"/>
      <c r="Q273" s="9"/>
    </row>
    <row r="274" customFormat="false" ht="14.25" hidden="false" customHeight="false" outlineLevel="0" collapsed="false">
      <c r="A274" s="5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7"/>
      <c r="N274" s="6"/>
      <c r="O274" s="6"/>
      <c r="Q274" s="6"/>
    </row>
    <row r="275" customFormat="false" ht="14.25" hidden="false" customHeight="false" outlineLevel="0" collapsed="false">
      <c r="A275" s="8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10"/>
      <c r="N275" s="9"/>
      <c r="O275" s="9"/>
      <c r="Q275" s="9"/>
    </row>
    <row r="276" customFormat="false" ht="14.25" hidden="false" customHeight="false" outlineLevel="0" collapsed="false">
      <c r="A276" s="5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7"/>
      <c r="N276" s="6"/>
      <c r="O276" s="6"/>
      <c r="Q276" s="6"/>
    </row>
    <row r="277" customFormat="false" ht="14.25" hidden="false" customHeight="false" outlineLevel="0" collapsed="false">
      <c r="A277" s="8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10"/>
      <c r="N277" s="9"/>
      <c r="O277" s="9"/>
      <c r="Q277" s="9"/>
    </row>
    <row r="278" customFormat="false" ht="14.25" hidden="false" customHeight="false" outlineLevel="0" collapsed="false">
      <c r="A278" s="5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7"/>
      <c r="N278" s="6"/>
      <c r="O278" s="6"/>
      <c r="Q278" s="6"/>
    </row>
    <row r="279" customFormat="false" ht="14.25" hidden="false" customHeight="false" outlineLevel="0" collapsed="false">
      <c r="A279" s="8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10"/>
      <c r="N279" s="9"/>
      <c r="O279" s="9"/>
      <c r="Q279" s="9"/>
    </row>
    <row r="280" customFormat="false" ht="14.25" hidden="false" customHeight="false" outlineLevel="0" collapsed="false">
      <c r="A280" s="5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7"/>
      <c r="N280" s="6"/>
      <c r="O280" s="6"/>
      <c r="Q280" s="6"/>
    </row>
    <row r="281" customFormat="false" ht="14.25" hidden="false" customHeight="false" outlineLevel="0" collapsed="false">
      <c r="A281" s="8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10"/>
      <c r="N281" s="9"/>
      <c r="O281" s="9"/>
      <c r="Q281" s="9"/>
    </row>
    <row r="282" customFormat="false" ht="14.25" hidden="false" customHeight="false" outlineLevel="0" collapsed="false">
      <c r="A282" s="5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7"/>
      <c r="N282" s="6"/>
      <c r="O282" s="6"/>
      <c r="Q282" s="6"/>
    </row>
    <row r="283" customFormat="false" ht="14.25" hidden="false" customHeight="false" outlineLevel="0" collapsed="false">
      <c r="A283" s="8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10"/>
      <c r="N283" s="9"/>
      <c r="O283" s="9"/>
      <c r="Q283" s="9"/>
    </row>
    <row r="284" customFormat="false" ht="14.25" hidden="false" customHeight="false" outlineLevel="0" collapsed="false">
      <c r="A284" s="5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7"/>
      <c r="N284" s="6"/>
      <c r="O284" s="6"/>
      <c r="Q284" s="6"/>
    </row>
    <row r="285" customFormat="false" ht="14.25" hidden="false" customHeight="false" outlineLevel="0" collapsed="false">
      <c r="A285" s="8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10"/>
      <c r="N285" s="9"/>
      <c r="O285" s="9"/>
      <c r="Q285" s="9"/>
    </row>
    <row r="286" customFormat="false" ht="14.25" hidden="false" customHeight="false" outlineLevel="0" collapsed="false">
      <c r="A286" s="5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7"/>
      <c r="N286" s="6"/>
      <c r="O286" s="6"/>
      <c r="Q286" s="6"/>
    </row>
    <row r="287" customFormat="false" ht="14.25" hidden="false" customHeight="false" outlineLevel="0" collapsed="false">
      <c r="A287" s="8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10"/>
      <c r="N287" s="9"/>
      <c r="O287" s="9"/>
      <c r="Q287" s="9"/>
    </row>
    <row r="288" customFormat="false" ht="14.25" hidden="false" customHeight="false" outlineLevel="0" collapsed="false">
      <c r="A288" s="5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7"/>
      <c r="N288" s="6"/>
      <c r="O288" s="6"/>
      <c r="Q288" s="6"/>
    </row>
    <row r="289" customFormat="false" ht="14.25" hidden="false" customHeight="false" outlineLevel="0" collapsed="false">
      <c r="A289" s="8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10"/>
      <c r="N289" s="9"/>
      <c r="O289" s="9"/>
      <c r="Q289" s="9"/>
    </row>
    <row r="290" customFormat="false" ht="14.25" hidden="false" customHeight="false" outlineLevel="0" collapsed="false">
      <c r="A290" s="5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7"/>
      <c r="N290" s="6"/>
      <c r="O290" s="6"/>
      <c r="Q290" s="6"/>
    </row>
    <row r="291" customFormat="false" ht="14.25" hidden="false" customHeight="false" outlineLevel="0" collapsed="false">
      <c r="A291" s="8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10"/>
      <c r="N291" s="9"/>
      <c r="O291" s="9"/>
      <c r="Q291" s="9"/>
    </row>
    <row r="292" customFormat="false" ht="14.25" hidden="false" customHeight="false" outlineLevel="0" collapsed="false">
      <c r="A292" s="5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7"/>
      <c r="N292" s="6"/>
      <c r="O292" s="6"/>
      <c r="Q292" s="6"/>
    </row>
    <row r="293" customFormat="false" ht="14.25" hidden="false" customHeight="false" outlineLevel="0" collapsed="false">
      <c r="A293" s="8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10"/>
      <c r="N293" s="9"/>
      <c r="O293" s="9"/>
      <c r="Q293" s="9"/>
    </row>
    <row r="294" customFormat="false" ht="14.25" hidden="false" customHeight="false" outlineLevel="0" collapsed="false">
      <c r="A294" s="5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7"/>
      <c r="N294" s="6"/>
      <c r="O294" s="6"/>
      <c r="Q294" s="6"/>
    </row>
    <row r="295" customFormat="false" ht="14.25" hidden="false" customHeight="false" outlineLevel="0" collapsed="false">
      <c r="A295" s="8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10"/>
      <c r="N295" s="9"/>
      <c r="O295" s="9"/>
      <c r="Q295" s="9"/>
    </row>
  </sheetData>
  <mergeCells count="1">
    <mergeCell ref="D1:E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107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2026-05-04T11:45:31Z</dcterms:created>
  <dc:creator>Mateusz Miller</dc:creator>
  <dc:description/>
  <dc:language>pl-PL</dc:language>
  <cp:lastModifiedBy/>
  <dcterms:modified xsi:type="dcterms:W3CDTF">2026-05-10T12:40:07Z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